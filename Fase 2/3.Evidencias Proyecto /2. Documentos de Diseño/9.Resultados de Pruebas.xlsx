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ltados" sheetId="2" state="visible" r:id="rId2"/>
    <sheet xmlns:r="http://schemas.openxmlformats.org/officeDocument/2006/relationships" name="Defectos" sheetId="3" state="visible" r:id="rId3"/>
  </sheets>
  <definedNames>
    <definedName name="_xlnm._FilterDatabase" localSheetId="1" hidden="1">'Resultados'!$A$4:$M$36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1F4E79"/>
      <sz val="12"/>
    </font>
    <font>
      <b val="1"/>
      <color rgb="00FFFFFF"/>
    </font>
    <font>
      <i val="1"/>
      <color rgb="00666666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9" fontId="0" fillId="0" borderId="1" pivotButton="0" quotePrefix="0" xfId="0"/>
    <xf numFmtId="9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 de los casos de prueba</a:t>
            </a:r>
          </a:p>
        </rich>
      </tx>
    </title>
    <plotArea>
      <pieChart>
        <varyColors val="1"/>
        <ser>
          <idx val="0"/>
          <order val="0"/>
          <tx>
            <strRef>
              <f>'Resumen'!B13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'Resumen'!$A$14:$A$17</f>
            </numRef>
          </cat>
          <val>
            <numRef>
              <f>'Resumen'!$B$14:$B$17</f>
            </numRef>
          </val>
        </ser>
        <dLbls>
          <showVal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39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10" customWidth="1" min="3" max="3"/>
  </cols>
  <sheetData>
    <row r="1">
      <c r="A1" s="1" t="inlineStr">
        <is>
          <t>Resultados de las pruebas - Cotizapp</t>
        </is>
      </c>
    </row>
    <row r="3">
      <c r="A3" s="2" t="inlineStr">
        <is>
          <t>Proyecto</t>
        </is>
      </c>
      <c r="B3" t="inlineStr">
        <is>
          <t>Cotizapp - Plataforma de cotización y compra multiproveedor</t>
        </is>
      </c>
    </row>
    <row r="4">
      <c r="A4" s="2" t="inlineStr">
        <is>
          <t>Equipo</t>
        </is>
      </c>
      <c r="B4" t="inlineStr">
        <is>
          <t>codewave</t>
        </is>
      </c>
    </row>
    <row r="5">
      <c r="A5" s="2" t="inlineStr">
        <is>
          <t>Jefe de proyecto</t>
        </is>
      </c>
      <c r="B5" t="inlineStr">
        <is>
          <t>Samuel Alarcón</t>
        </is>
      </c>
    </row>
    <row r="6">
      <c r="A6" s="2" t="inlineStr">
        <is>
          <t>Analistas de prueba</t>
        </is>
      </c>
      <c r="B6" t="inlineStr">
        <is>
          <t>Benjamín González, Sebastián Ramírez</t>
        </is>
      </c>
    </row>
    <row r="7">
      <c r="A7" s="2" t="inlineStr">
        <is>
          <t>Ciclo de pruebas</t>
        </is>
      </c>
      <c r="B7" t="inlineStr">
        <is>
          <t>Ciclo 1</t>
        </is>
      </c>
    </row>
    <row r="8">
      <c r="A8" s="2" t="inlineStr">
        <is>
          <t>Ambiente</t>
        </is>
      </c>
      <c r="B8" t="inlineStr">
        <is>
          <t>Staging (Docker en Digital Ocean) / sandbox de pagos</t>
        </is>
      </c>
    </row>
    <row r="9">
      <c r="A9" s="2" t="inlineStr">
        <is>
          <t>Documentos relacionados</t>
        </is>
      </c>
      <c r="B9" t="inlineStr">
        <is>
          <t>6. Plan de pruebas · 7. Planilla Casos de Prueba</t>
        </is>
      </c>
    </row>
    <row r="10">
      <c r="A10" s="2" t="inlineStr">
        <is>
          <t>Fecha de actualización</t>
        </is>
      </c>
      <c r="B10" t="inlineStr">
        <is>
          <t>24/10/2026</t>
        </is>
      </c>
    </row>
    <row r="12">
      <c r="A12" s="3" t="inlineStr">
        <is>
          <t>Resumen de ejecución</t>
        </is>
      </c>
    </row>
    <row r="13">
      <c r="A13" s="4" t="inlineStr">
        <is>
          <t>Estado</t>
        </is>
      </c>
      <c r="B13" s="4" t="inlineStr">
        <is>
          <t>Cantidad</t>
        </is>
      </c>
      <c r="C13" s="4" t="inlineStr">
        <is>
          <t>%</t>
        </is>
      </c>
    </row>
    <row r="14">
      <c r="A14" s="5" t="inlineStr">
        <is>
          <t>OK</t>
        </is>
      </c>
      <c r="B14" s="5">
        <f>COUNTIF(Resultados!$J$5:$J$200,A14)</f>
        <v/>
      </c>
      <c r="C14" s="6">
        <f>IF($B$18=0,0,B14/$B$18)</f>
        <v/>
      </c>
    </row>
    <row r="15">
      <c r="A15" s="5" t="inlineStr">
        <is>
          <t>Falla</t>
        </is>
      </c>
      <c r="B15" s="5">
        <f>COUNTIF(Resultados!$J$5:$J$200,A15)</f>
        <v/>
      </c>
      <c r="C15" s="6">
        <f>IF($B$18=0,0,B15/$B$18)</f>
        <v/>
      </c>
    </row>
    <row r="16">
      <c r="A16" s="5" t="inlineStr">
        <is>
          <t>Bloqueado</t>
        </is>
      </c>
      <c r="B16" s="5">
        <f>COUNTIF(Resultados!$J$5:$J$200,A16)</f>
        <v/>
      </c>
      <c r="C16" s="6">
        <f>IF($B$18=0,0,B16/$B$18)</f>
        <v/>
      </c>
    </row>
    <row r="17">
      <c r="A17" s="5" t="inlineStr">
        <is>
          <t>Pendiente</t>
        </is>
      </c>
      <c r="B17" s="5">
        <f>COUNTIF(Resultados!$J$5:$J$200,A17)</f>
        <v/>
      </c>
      <c r="C17" s="6">
        <f>IF($B$18=0,0,B17/$B$18)</f>
        <v/>
      </c>
    </row>
    <row r="18">
      <c r="A18" s="2" t="inlineStr">
        <is>
          <t>Total casos</t>
        </is>
      </c>
      <c r="B18" s="2">
        <f>COUNTA(Resultados!$A$5:$A$200)</f>
        <v/>
      </c>
    </row>
    <row r="20">
      <c r="A20" s="2" t="inlineStr">
        <is>
          <t>Avance de ejecución</t>
        </is>
      </c>
      <c r="B20" s="7">
        <f>IF(B18=0,0,(B14+B15)/B18)</f>
        <v/>
      </c>
    </row>
    <row r="21">
      <c r="A21" s="2" t="inlineStr">
        <is>
          <t>Tasa de aprobación (de lo ejecutado)</t>
        </is>
      </c>
      <c r="B21" s="7">
        <f>IF((B14+B15)=0,0,B14/(B14+B15))</f>
        <v/>
      </c>
    </row>
    <row r="22">
      <c r="A22" s="2" t="inlineStr">
        <is>
          <t>Defectos abiertos</t>
        </is>
      </c>
      <c r="B22">
        <f>COUNTIFS(Defectos!$A$4:$A$200,"&lt;&gt;",Defectos!$H$4:$H$200,"&lt;&gt;Cerrado")</f>
        <v/>
      </c>
    </row>
    <row r="24">
      <c r="A24" s="8" t="inlineStr">
        <is>
          <t>Nota: el estado de cada caso se actualiza en la hoja Resultados; este resumen y el gráfico se recalculan solos.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40" customWidth="1" min="4" max="4"/>
    <col width="15" customWidth="1" min="5" max="5"/>
    <col width="26" customWidth="1" min="6" max="6"/>
    <col width="18" customWidth="1" min="7" max="7"/>
    <col width="13" customWidth="1" min="8" max="8"/>
    <col width="40" customWidth="1" min="9" max="9"/>
    <col width="12" customWidth="1" min="10" max="10"/>
    <col width="11" customWidth="1" min="11" max="11"/>
    <col width="26" customWidth="1" min="12" max="12"/>
    <col width="40" customWidth="1" min="13" max="13"/>
  </cols>
  <sheetData>
    <row r="1">
      <c r="A1" s="9" t="inlineStr">
        <is>
          <t>Registro de resultados - Ciclo 1</t>
        </is>
      </c>
    </row>
    <row r="2">
      <c r="A2" s="8" t="inlineStr">
        <is>
          <t>Estado: OK = resultado obtenido igual al esperado · Falla = difiere (registrar defecto) · Bloqueado = no se pudo ejecutar · Pendiente = aún no ejecutado.</t>
        </is>
      </c>
    </row>
    <row r="4">
      <c r="A4" s="10" t="inlineStr">
        <is>
          <t>ID caso</t>
        </is>
      </c>
      <c r="B4" s="10" t="inlineStr">
        <is>
          <t>Módulo</t>
        </is>
      </c>
      <c r="C4" s="10" t="inlineStr">
        <is>
          <t>Caso de prueba</t>
        </is>
      </c>
      <c r="D4" s="10" t="inlineStr">
        <is>
          <t>Resultado esperado</t>
        </is>
      </c>
      <c r="E4" s="10" t="inlineStr">
        <is>
          <t>Tipo de prueba</t>
        </is>
      </c>
      <c r="F4" s="10" t="inlineStr">
        <is>
          <t>Herramienta</t>
        </is>
      </c>
      <c r="G4" s="10" t="inlineStr">
        <is>
          <t>Responsable</t>
        </is>
      </c>
      <c r="H4" s="10" t="inlineStr">
        <is>
          <t>Fecha ejecución</t>
        </is>
      </c>
      <c r="I4" s="10" t="inlineStr">
        <is>
          <t>Resultado obtenido</t>
        </is>
      </c>
      <c r="J4" s="10" t="inlineStr">
        <is>
          <t>Estado</t>
        </is>
      </c>
      <c r="K4" s="10" t="inlineStr">
        <is>
          <t>ID defecto</t>
        </is>
      </c>
      <c r="L4" s="10" t="inlineStr">
        <is>
          <t>Evidencia (link)</t>
        </is>
      </c>
      <c r="M4" s="10" t="inlineStr">
        <is>
          <t>Observaciones</t>
        </is>
      </c>
    </row>
    <row r="5">
      <c r="A5" s="11" t="inlineStr">
        <is>
          <t>CP 0001</t>
        </is>
      </c>
      <c r="B5" s="11" t="inlineStr">
        <is>
          <t>Registro de comprador</t>
        </is>
      </c>
      <c r="C5" s="11" t="inlineStr">
        <is>
          <t>Registro con datos válidos</t>
        </is>
      </c>
      <c r="D5" s="11" t="inlineStr">
        <is>
          <t>Se crea la cuenta y se muestra la confirmación</t>
        </is>
      </c>
      <c r="E5" s="11" t="inlineStr">
        <is>
          <t>Manual + API</t>
        </is>
      </c>
      <c r="F5" s="11" t="inlineStr">
        <is>
          <t>Navegador / Postman-Newman</t>
        </is>
      </c>
      <c r="G5" s="11" t="inlineStr">
        <is>
          <t>Benjamín González</t>
        </is>
      </c>
      <c r="H5" s="11" t="inlineStr"/>
      <c r="I5" s="11" t="inlineStr"/>
      <c r="J5" s="11" t="inlineStr">
        <is>
          <t>Pendiente</t>
        </is>
      </c>
      <c r="K5" s="11" t="inlineStr"/>
      <c r="L5" s="11" t="inlineStr"/>
      <c r="M5" s="11" t="inlineStr"/>
    </row>
    <row r="6">
      <c r="A6" s="11" t="inlineStr">
        <is>
          <t>CP 0002</t>
        </is>
      </c>
      <c r="B6" s="11" t="inlineStr">
        <is>
          <t>Registro de comprador</t>
        </is>
      </c>
      <c r="C6" s="11" t="inlineStr">
        <is>
          <t>Registro con correo ya existente</t>
        </is>
      </c>
      <c r="D6" s="11" t="inlineStr">
        <is>
          <t>Se muestra el mensaje "El correo ya está registrado"</t>
        </is>
      </c>
      <c r="E6" s="11" t="inlineStr">
        <is>
          <t>Manual + API</t>
        </is>
      </c>
      <c r="F6" s="11" t="inlineStr">
        <is>
          <t>Navegador / Postman-Newman</t>
        </is>
      </c>
      <c r="G6" s="11" t="inlineStr">
        <is>
          <t>Benjamín González</t>
        </is>
      </c>
      <c r="H6" s="11" t="inlineStr"/>
      <c r="I6" s="11" t="inlineStr"/>
      <c r="J6" s="11" t="inlineStr">
        <is>
          <t>Pendiente</t>
        </is>
      </c>
      <c r="K6" s="11" t="inlineStr"/>
      <c r="L6" s="11" t="inlineStr"/>
      <c r="M6" s="11" t="inlineStr"/>
    </row>
    <row r="7">
      <c r="A7" s="11" t="inlineStr">
        <is>
          <t>CP 0003</t>
        </is>
      </c>
      <c r="B7" s="11" t="inlineStr">
        <is>
          <t>Registro de comprador</t>
        </is>
      </c>
      <c r="C7" s="11" t="inlineStr">
        <is>
          <t>Registro con campo obligatorio vacío</t>
        </is>
      </c>
      <c r="D7" s="11" t="inlineStr">
        <is>
          <t>Se marca el campo obligatorio y no se crea la cuenta</t>
        </is>
      </c>
      <c r="E7" s="11" t="inlineStr">
        <is>
          <t>Manual + API</t>
        </is>
      </c>
      <c r="F7" s="11" t="inlineStr">
        <is>
          <t>Navegador / Postman-Newman</t>
        </is>
      </c>
      <c r="G7" s="11" t="inlineStr">
        <is>
          <t>Benjamín González</t>
        </is>
      </c>
      <c r="H7" s="11" t="inlineStr"/>
      <c r="I7" s="11" t="inlineStr"/>
      <c r="J7" s="11" t="inlineStr">
        <is>
          <t>Pendiente</t>
        </is>
      </c>
      <c r="K7" s="11" t="inlineStr"/>
      <c r="L7" s="11" t="inlineStr"/>
      <c r="M7" s="11" t="inlineStr"/>
    </row>
    <row r="8">
      <c r="A8" s="11" t="inlineStr">
        <is>
          <t>CP 0004</t>
        </is>
      </c>
      <c r="B8" s="11" t="inlineStr">
        <is>
          <t>Inicio de sesión</t>
        </is>
      </c>
      <c r="C8" s="11" t="inlineStr">
        <is>
          <t>Credenciales válidas</t>
        </is>
      </c>
      <c r="D8" s="11" t="inlineStr">
        <is>
          <t>Se accede al home del comprador</t>
        </is>
      </c>
      <c r="E8" s="11" t="inlineStr">
        <is>
          <t>Manual + API</t>
        </is>
      </c>
      <c r="F8" s="11" t="inlineStr">
        <is>
          <t>Navegador / Postman-Newman</t>
        </is>
      </c>
      <c r="G8" s="11" t="inlineStr">
        <is>
          <t>Samuel Alarcón</t>
        </is>
      </c>
      <c r="H8" s="11" t="inlineStr"/>
      <c r="I8" s="11" t="inlineStr"/>
      <c r="J8" s="11" t="inlineStr">
        <is>
          <t>Pendiente</t>
        </is>
      </c>
      <c r="K8" s="11" t="inlineStr"/>
      <c r="L8" s="11" t="inlineStr"/>
      <c r="M8" s="11" t="inlineStr"/>
    </row>
    <row r="9">
      <c r="A9" s="11" t="inlineStr">
        <is>
          <t>CP 0005</t>
        </is>
      </c>
      <c r="B9" s="11" t="inlineStr">
        <is>
          <t>Inicio de sesión</t>
        </is>
      </c>
      <c r="C9" s="11" t="inlineStr">
        <is>
          <t>Contraseña incorrecta</t>
        </is>
      </c>
      <c r="D9" s="11" t="inlineStr">
        <is>
          <t>Se muestra mensaje de credenciales inválidas y no se accede</t>
        </is>
      </c>
      <c r="E9" s="11" t="inlineStr">
        <is>
          <t>Manual + API</t>
        </is>
      </c>
      <c r="F9" s="11" t="inlineStr">
        <is>
          <t>Navegador / Postman-Newman</t>
        </is>
      </c>
      <c r="G9" s="11" t="inlineStr">
        <is>
          <t>Samuel Alarcón</t>
        </is>
      </c>
      <c r="H9" s="11" t="inlineStr"/>
      <c r="I9" s="11" t="inlineStr"/>
      <c r="J9" s="11" t="inlineStr">
        <is>
          <t>Pendiente</t>
        </is>
      </c>
      <c r="K9" s="11" t="inlineStr"/>
      <c r="L9" s="11" t="inlineStr"/>
      <c r="M9" s="11" t="inlineStr"/>
    </row>
    <row r="10">
      <c r="A10" s="11" t="inlineStr">
        <is>
          <t>CP 0006</t>
        </is>
      </c>
      <c r="B10" s="11" t="inlineStr">
        <is>
          <t>Inicio de sesión</t>
        </is>
      </c>
      <c r="C10" s="11" t="inlineStr">
        <is>
          <t>Código 2FA válido</t>
        </is>
      </c>
      <c r="D10" s="11" t="inlineStr">
        <is>
          <t>Se crea la sesión y se muestra el panel del proveedor</t>
        </is>
      </c>
      <c r="E10" s="11" t="inlineStr">
        <is>
          <t>Manual + API</t>
        </is>
      </c>
      <c r="F10" s="11" t="inlineStr">
        <is>
          <t>Navegador / Postman-Newman</t>
        </is>
      </c>
      <c r="G10" s="11" t="inlineStr">
        <is>
          <t>Samuel Alarcón</t>
        </is>
      </c>
      <c r="H10" s="11" t="inlineStr"/>
      <c r="I10" s="11" t="inlineStr"/>
      <c r="J10" s="11" t="inlineStr">
        <is>
          <t>Pendiente</t>
        </is>
      </c>
      <c r="K10" s="11" t="inlineStr"/>
      <c r="L10" s="11" t="inlineStr"/>
      <c r="M10" s="11" t="inlineStr"/>
    </row>
    <row r="11">
      <c r="A11" s="11" t="inlineStr">
        <is>
          <t>CP 0007</t>
        </is>
      </c>
      <c r="B11" s="11" t="inlineStr">
        <is>
          <t>Inicio de sesión</t>
        </is>
      </c>
      <c r="C11" s="11" t="inlineStr">
        <is>
          <t>Código 2FA expirado</t>
        </is>
      </c>
      <c r="D11" s="11" t="inlineStr">
        <is>
          <t>Se muestra error de código expirado y la opción de reenvío</t>
        </is>
      </c>
      <c r="E11" s="11" t="inlineStr">
        <is>
          <t>Manual + API</t>
        </is>
      </c>
      <c r="F11" s="11" t="inlineStr">
        <is>
          <t>Navegador / Postman-Newman</t>
        </is>
      </c>
      <c r="G11" s="11" t="inlineStr">
        <is>
          <t>Samuel Alarcón</t>
        </is>
      </c>
      <c r="H11" s="11" t="inlineStr"/>
      <c r="I11" s="11" t="inlineStr"/>
      <c r="J11" s="11" t="inlineStr">
        <is>
          <t>Pendiente</t>
        </is>
      </c>
      <c r="K11" s="11" t="inlineStr"/>
      <c r="L11" s="11" t="inlineStr"/>
      <c r="M11" s="11" t="inlineStr"/>
    </row>
    <row r="12">
      <c r="A12" s="11" t="inlineStr">
        <is>
          <t>CP 0008</t>
        </is>
      </c>
      <c r="B12" s="11" t="inlineStr">
        <is>
          <t>Catálogo</t>
        </is>
      </c>
      <c r="C12" s="11" t="inlineStr">
        <is>
          <t>Navegar por categoría</t>
        </is>
      </c>
      <c r="D12" s="11" t="inlineStr">
        <is>
          <t>Se listan solo productos de la categoría seleccionada</t>
        </is>
      </c>
      <c r="E12" s="11" t="inlineStr">
        <is>
          <t>Manual</t>
        </is>
      </c>
      <c r="F12" s="11" t="inlineStr">
        <is>
          <t>Navegador</t>
        </is>
      </c>
      <c r="G12" s="11" t="inlineStr">
        <is>
          <t>Benjamín González</t>
        </is>
      </c>
      <c r="H12" s="11" t="inlineStr"/>
      <c r="I12" s="11" t="inlineStr"/>
      <c r="J12" s="11" t="inlineStr">
        <is>
          <t>Pendiente</t>
        </is>
      </c>
      <c r="K12" s="11" t="inlineStr"/>
      <c r="L12" s="11" t="inlineStr"/>
      <c r="M12" s="11" t="inlineStr"/>
    </row>
    <row r="13">
      <c r="A13" s="11" t="inlineStr">
        <is>
          <t>CP 0009</t>
        </is>
      </c>
      <c r="B13" s="11" t="inlineStr">
        <is>
          <t>Catálogo</t>
        </is>
      </c>
      <c r="C13" s="11" t="inlineStr">
        <is>
          <t>Búsqueda con resultados</t>
        </is>
      </c>
      <c r="D13" s="11" t="inlineStr">
        <is>
          <t>Se listan los productos que contienen "arroz"</t>
        </is>
      </c>
      <c r="E13" s="11" t="inlineStr">
        <is>
          <t>Manual</t>
        </is>
      </c>
      <c r="F13" s="11" t="inlineStr">
        <is>
          <t>Navegador</t>
        </is>
      </c>
      <c r="G13" s="11" t="inlineStr">
        <is>
          <t>Benjamín González</t>
        </is>
      </c>
      <c r="H13" s="11" t="inlineStr"/>
      <c r="I13" s="11" t="inlineStr"/>
      <c r="J13" s="11" t="inlineStr">
        <is>
          <t>Pendiente</t>
        </is>
      </c>
      <c r="K13" s="11" t="inlineStr"/>
      <c r="L13" s="11" t="inlineStr"/>
      <c r="M13" s="11" t="inlineStr"/>
    </row>
    <row r="14">
      <c r="A14" s="11" t="inlineStr">
        <is>
          <t>CP 0010</t>
        </is>
      </c>
      <c r="B14" s="11" t="inlineStr">
        <is>
          <t>Catálogo</t>
        </is>
      </c>
      <c r="C14" s="11" t="inlineStr">
        <is>
          <t>Búsqueda sin resultados</t>
        </is>
      </c>
      <c r="D14" s="11" t="inlineStr">
        <is>
          <t>Se muestra el mensaje "No se encontraron productos"</t>
        </is>
      </c>
      <c r="E14" s="11" t="inlineStr">
        <is>
          <t>Manual</t>
        </is>
      </c>
      <c r="F14" s="11" t="inlineStr">
        <is>
          <t>Navegador</t>
        </is>
      </c>
      <c r="G14" s="11" t="inlineStr">
        <is>
          <t>Benjamín González</t>
        </is>
      </c>
      <c r="H14" s="11" t="inlineStr"/>
      <c r="I14" s="11" t="inlineStr"/>
      <c r="J14" s="11" t="inlineStr">
        <is>
          <t>Pendiente</t>
        </is>
      </c>
      <c r="K14" s="11" t="inlineStr"/>
      <c r="L14" s="11" t="inlineStr"/>
      <c r="M14" s="11" t="inlineStr"/>
    </row>
    <row r="15">
      <c r="A15" s="11" t="inlineStr">
        <is>
          <t>CP 0011</t>
        </is>
      </c>
      <c r="B15" s="11" t="inlineStr">
        <is>
          <t>Catálogo</t>
        </is>
      </c>
      <c r="C15" s="11" t="inlineStr">
        <is>
          <t>Filtro por rango de precio</t>
        </is>
      </c>
      <c r="D15" s="11" t="inlineStr">
        <is>
          <t>Solo se muestran productos dentro del rango</t>
        </is>
      </c>
      <c r="E15" s="11" t="inlineStr">
        <is>
          <t>Manual</t>
        </is>
      </c>
      <c r="F15" s="11" t="inlineStr">
        <is>
          <t>Navegador</t>
        </is>
      </c>
      <c r="G15" s="11" t="inlineStr">
        <is>
          <t>Benjamín González</t>
        </is>
      </c>
      <c r="H15" s="11" t="inlineStr"/>
      <c r="I15" s="11" t="inlineStr"/>
      <c r="J15" s="11" t="inlineStr">
        <is>
          <t>Pendiente</t>
        </is>
      </c>
      <c r="K15" s="11" t="inlineStr"/>
      <c r="L15" s="11" t="inlineStr"/>
      <c r="M15" s="11" t="inlineStr"/>
    </row>
    <row r="16">
      <c r="A16" s="11" t="inlineStr">
        <is>
          <t>CP 0012</t>
        </is>
      </c>
      <c r="B16" s="11" t="inlineStr">
        <is>
          <t>Comparador</t>
        </is>
      </c>
      <c r="C16" s="11" t="inlineStr">
        <is>
          <t>Comparar ofertas de un producto</t>
        </is>
      </c>
      <c r="D16" s="11" t="inlineStr">
        <is>
          <t>Se muestran las 3 ofertas ordenadas por precio</t>
        </is>
      </c>
      <c r="E16" s="11" t="inlineStr">
        <is>
          <t>Manual</t>
        </is>
      </c>
      <c r="F16" s="11" t="inlineStr">
        <is>
          <t>Navegador</t>
        </is>
      </c>
      <c r="G16" s="11" t="inlineStr">
        <is>
          <t>Benjamín González</t>
        </is>
      </c>
      <c r="H16" s="11" t="inlineStr"/>
      <c r="I16" s="11" t="inlineStr"/>
      <c r="J16" s="11" t="inlineStr">
        <is>
          <t>Pendiente</t>
        </is>
      </c>
      <c r="K16" s="11" t="inlineStr"/>
      <c r="L16" s="11" t="inlineStr"/>
      <c r="M16" s="11" t="inlineStr"/>
    </row>
    <row r="17">
      <c r="A17" s="11" t="inlineStr">
        <is>
          <t>CP 0013</t>
        </is>
      </c>
      <c r="B17" s="11" t="inlineStr">
        <is>
          <t>Comparador</t>
        </is>
      </c>
      <c r="C17" s="11" t="inlineStr">
        <is>
          <t>Producto con una sola oferta</t>
        </is>
      </c>
      <c r="D17" s="11" t="inlineStr">
        <is>
          <t>Se muestra la oferta sin errores de visualización</t>
        </is>
      </c>
      <c r="E17" s="11" t="inlineStr">
        <is>
          <t>Manual</t>
        </is>
      </c>
      <c r="F17" s="11" t="inlineStr">
        <is>
          <t>Navegador</t>
        </is>
      </c>
      <c r="G17" s="11" t="inlineStr">
        <is>
          <t>Benjamín González</t>
        </is>
      </c>
      <c r="H17" s="11" t="inlineStr"/>
      <c r="I17" s="11" t="inlineStr"/>
      <c r="J17" s="11" t="inlineStr">
        <is>
          <t>Pendiente</t>
        </is>
      </c>
      <c r="K17" s="11" t="inlineStr"/>
      <c r="L17" s="11" t="inlineStr"/>
      <c r="M17" s="11" t="inlineStr"/>
    </row>
    <row r="18">
      <c r="A18" s="11" t="inlineStr">
        <is>
          <t>CP 0014</t>
        </is>
      </c>
      <c r="B18" s="11" t="inlineStr">
        <is>
          <t>Carro</t>
        </is>
      </c>
      <c r="C18" s="11" t="inlineStr">
        <is>
          <t>Agregar productos de distintos proveedores</t>
        </is>
      </c>
      <c r="D18" s="11" t="inlineStr">
        <is>
          <t>El carro agrupa por proveedor y muestra el total</t>
        </is>
      </c>
      <c r="E18" s="11" t="inlineStr">
        <is>
          <t>Manual + Unitaria</t>
        </is>
      </c>
      <c r="F18" s="11" t="inlineStr">
        <is>
          <t>Navegador / Jest-Vitest</t>
        </is>
      </c>
      <c r="G18" s="11" t="inlineStr">
        <is>
          <t>Benjamín González</t>
        </is>
      </c>
      <c r="H18" s="11" t="inlineStr"/>
      <c r="I18" s="11" t="inlineStr"/>
      <c r="J18" s="11" t="inlineStr">
        <is>
          <t>Pendiente</t>
        </is>
      </c>
      <c r="K18" s="11" t="inlineStr"/>
      <c r="L18" s="11" t="inlineStr"/>
      <c r="M18" s="11" t="inlineStr"/>
    </row>
    <row r="19">
      <c r="A19" s="11" t="inlineStr">
        <is>
          <t>CP 0015</t>
        </is>
      </c>
      <c r="B19" s="11" t="inlineStr">
        <is>
          <t>Carro</t>
        </is>
      </c>
      <c r="C19" s="11" t="inlineStr">
        <is>
          <t>Modificar cantidad</t>
        </is>
      </c>
      <c r="D19" s="11" t="inlineStr">
        <is>
          <t>Se recalculan subtotal y total</t>
        </is>
      </c>
      <c r="E19" s="11" t="inlineStr">
        <is>
          <t>Manual + Unitaria</t>
        </is>
      </c>
      <c r="F19" s="11" t="inlineStr">
        <is>
          <t>Navegador / Jest-Vitest</t>
        </is>
      </c>
      <c r="G19" s="11" t="inlineStr">
        <is>
          <t>Benjamín González</t>
        </is>
      </c>
      <c r="H19" s="11" t="inlineStr"/>
      <c r="I19" s="11" t="inlineStr"/>
      <c r="J19" s="11" t="inlineStr">
        <is>
          <t>Pendiente</t>
        </is>
      </c>
      <c r="K19" s="11" t="inlineStr"/>
      <c r="L19" s="11" t="inlineStr"/>
      <c r="M19" s="11" t="inlineStr"/>
    </row>
    <row r="20">
      <c r="A20" s="11" t="inlineStr">
        <is>
          <t>CP 0016</t>
        </is>
      </c>
      <c r="B20" s="11" t="inlineStr">
        <is>
          <t>Carro</t>
        </is>
      </c>
      <c r="C20" s="11" t="inlineStr">
        <is>
          <t>Cantidad mayor al stock</t>
        </is>
      </c>
      <c r="D20" s="11" t="inlineStr">
        <is>
          <t>Se muestra mensaje de stock insuficiente</t>
        </is>
      </c>
      <c r="E20" s="11" t="inlineStr">
        <is>
          <t>Manual + Unitaria</t>
        </is>
      </c>
      <c r="F20" s="11" t="inlineStr">
        <is>
          <t>Navegador / Jest-Vitest</t>
        </is>
      </c>
      <c r="G20" s="11" t="inlineStr">
        <is>
          <t>Benjamín González</t>
        </is>
      </c>
      <c r="H20" s="11" t="inlineStr"/>
      <c r="I20" s="11" t="inlineStr"/>
      <c r="J20" s="11" t="inlineStr">
        <is>
          <t>Pendiente</t>
        </is>
      </c>
      <c r="K20" s="11" t="inlineStr"/>
      <c r="L20" s="11" t="inlineStr"/>
      <c r="M20" s="11" t="inlineStr"/>
    </row>
    <row r="21">
      <c r="A21" s="11" t="inlineStr">
        <is>
          <t>CP 0017</t>
        </is>
      </c>
      <c r="B21" s="11" t="inlineStr">
        <is>
          <t>Carro</t>
        </is>
      </c>
      <c r="C21" s="11" t="inlineStr">
        <is>
          <t>Precio por volumen</t>
        </is>
      </c>
      <c r="D21" s="11" t="inlineStr">
        <is>
          <t>Se aplica el precio del tramo correspondiente</t>
        </is>
      </c>
      <c r="E21" s="11" t="inlineStr">
        <is>
          <t>Manual + Unitaria</t>
        </is>
      </c>
      <c r="F21" s="11" t="inlineStr">
        <is>
          <t>Navegador / Jest-Vitest</t>
        </is>
      </c>
      <c r="G21" s="11" t="inlineStr">
        <is>
          <t>Benjamín González</t>
        </is>
      </c>
      <c r="H21" s="11" t="inlineStr"/>
      <c r="I21" s="11" t="inlineStr"/>
      <c r="J21" s="11" t="inlineStr">
        <is>
          <t>Pendiente</t>
        </is>
      </c>
      <c r="K21" s="11" t="inlineStr"/>
      <c r="L21" s="11" t="inlineStr"/>
      <c r="M21" s="11" t="inlineStr"/>
    </row>
    <row r="22">
      <c r="A22" s="11" t="inlineStr">
        <is>
          <t>CP 0018</t>
        </is>
      </c>
      <c r="B22" s="11" t="inlineStr">
        <is>
          <t>Checkout</t>
        </is>
      </c>
      <c r="C22" s="11" t="inlineStr">
        <is>
          <t>Despacho y retiro por suborden</t>
        </is>
      </c>
      <c r="D22" s="11" t="inlineStr">
        <is>
          <t>Se calculan correctamente los costos de cada suborden</t>
        </is>
      </c>
      <c r="E22" s="11" t="inlineStr">
        <is>
          <t>Manual</t>
        </is>
      </c>
      <c r="F22" s="11" t="inlineStr">
        <is>
          <t>Navegador</t>
        </is>
      </c>
      <c r="G22" s="11" t="inlineStr">
        <is>
          <t>Benjamín González</t>
        </is>
      </c>
      <c r="H22" s="11" t="inlineStr"/>
      <c r="I22" s="11" t="inlineStr"/>
      <c r="J22" s="11" t="inlineStr">
        <is>
          <t>Pendiente</t>
        </is>
      </c>
      <c r="K22" s="11" t="inlineStr"/>
      <c r="L22" s="11" t="inlineStr"/>
      <c r="M22" s="11" t="inlineStr"/>
    </row>
    <row r="23">
      <c r="A23" s="11" t="inlineStr">
        <is>
          <t>CP 0019</t>
        </is>
      </c>
      <c r="B23" s="11" t="inlineStr">
        <is>
          <t>Checkout</t>
        </is>
      </c>
      <c r="C23" s="11" t="inlineStr">
        <is>
          <t>Comuna sin cobertura</t>
        </is>
      </c>
      <c r="D23" s="11" t="inlineStr">
        <is>
          <t>Se informa que el proveedor no despacha a esa comuna</t>
        </is>
      </c>
      <c r="E23" s="11" t="inlineStr">
        <is>
          <t>Manual</t>
        </is>
      </c>
      <c r="F23" s="11" t="inlineStr">
        <is>
          <t>Navegador</t>
        </is>
      </c>
      <c r="G23" s="11" t="inlineStr">
        <is>
          <t>Benjamín González</t>
        </is>
      </c>
      <c r="H23" s="11" t="inlineStr"/>
      <c r="I23" s="11" t="inlineStr"/>
      <c r="J23" s="11" t="inlineStr">
        <is>
          <t>Pendiente</t>
        </is>
      </c>
      <c r="K23" s="11" t="inlineStr"/>
      <c r="L23" s="11" t="inlineStr"/>
      <c r="M23" s="11" t="inlineStr"/>
    </row>
    <row r="24">
      <c r="A24" s="11" t="inlineStr">
        <is>
          <t>CP 0020</t>
        </is>
      </c>
      <c r="B24" s="11" t="inlineStr">
        <is>
          <t>Pagos</t>
        </is>
      </c>
      <c r="C24" s="11" t="inlineStr">
        <is>
          <t>Pago aprobado (sandbox)</t>
        </is>
      </c>
      <c r="D24" s="11" t="inlineStr">
        <is>
          <t>La orden queda pagada y se muestra el comprobante</t>
        </is>
      </c>
      <c r="E24" s="11" t="inlineStr">
        <is>
          <t>Manual</t>
        </is>
      </c>
      <c r="F24" s="11" t="inlineStr">
        <is>
          <t>Navegador (sandbox de pago)</t>
        </is>
      </c>
      <c r="G24" s="11" t="inlineStr">
        <is>
          <t>Samuel Alarcón</t>
        </is>
      </c>
      <c r="H24" s="11" t="inlineStr"/>
      <c r="I24" s="11" t="inlineStr"/>
      <c r="J24" s="11" t="inlineStr">
        <is>
          <t>Pendiente</t>
        </is>
      </c>
      <c r="K24" s="11" t="inlineStr"/>
      <c r="L24" s="11" t="inlineStr"/>
      <c r="M24" s="11" t="inlineStr"/>
    </row>
    <row r="25">
      <c r="A25" s="11" t="inlineStr">
        <is>
          <t>CP 0021</t>
        </is>
      </c>
      <c r="B25" s="11" t="inlineStr">
        <is>
          <t>Pagos</t>
        </is>
      </c>
      <c r="C25" s="11" t="inlineStr">
        <is>
          <t>Pago rechazado (sandbox)</t>
        </is>
      </c>
      <c r="D25" s="11" t="inlineStr">
        <is>
          <t>La orden queda pendiente y se permite reintentar</t>
        </is>
      </c>
      <c r="E25" s="11" t="inlineStr">
        <is>
          <t>Manual</t>
        </is>
      </c>
      <c r="F25" s="11" t="inlineStr">
        <is>
          <t>Navegador (sandbox de pago)</t>
        </is>
      </c>
      <c r="G25" s="11" t="inlineStr">
        <is>
          <t>Samuel Alarcón</t>
        </is>
      </c>
      <c r="H25" s="11" t="inlineStr"/>
      <c r="I25" s="11" t="inlineStr"/>
      <c r="J25" s="11" t="inlineStr">
        <is>
          <t>Pendiente</t>
        </is>
      </c>
      <c r="K25" s="11" t="inlineStr"/>
      <c r="L25" s="11" t="inlineStr"/>
      <c r="M25" s="11" t="inlineStr"/>
    </row>
    <row r="26">
      <c r="A26" s="11" t="inlineStr">
        <is>
          <t>CP 0022</t>
        </is>
      </c>
      <c r="B26" s="11" t="inlineStr">
        <is>
          <t>Órdenes</t>
        </is>
      </c>
      <c r="C26" s="11" t="inlineStr">
        <is>
          <t>Split por proveedor</t>
        </is>
      </c>
      <c r="D26" s="11" t="inlineStr">
        <is>
          <t>Se crean 2 subórdenes con sus montos</t>
        </is>
      </c>
      <c r="E26" s="11" t="inlineStr">
        <is>
          <t>API</t>
        </is>
      </c>
      <c r="F26" s="11" t="inlineStr">
        <is>
          <t>Postman-Newman</t>
        </is>
      </c>
      <c r="G26" s="11" t="inlineStr">
        <is>
          <t>Samuel Alarcón</t>
        </is>
      </c>
      <c r="H26" s="11" t="inlineStr"/>
      <c r="I26" s="11" t="inlineStr"/>
      <c r="J26" s="11" t="inlineStr">
        <is>
          <t>Pendiente</t>
        </is>
      </c>
      <c r="K26" s="11" t="inlineStr"/>
      <c r="L26" s="11" t="inlineStr"/>
      <c r="M26" s="11" t="inlineStr"/>
    </row>
    <row r="27">
      <c r="A27" s="11" t="inlineStr">
        <is>
          <t>CP 0023</t>
        </is>
      </c>
      <c r="B27" s="11" t="inlineStr">
        <is>
          <t>Proveedores</t>
        </is>
      </c>
      <c r="C27" s="11" t="inlineStr">
        <is>
          <t>Registro de proveedor</t>
        </is>
      </c>
      <c r="D27" s="11" t="inlineStr">
        <is>
          <t>La organización queda en estado "en revisión"</t>
        </is>
      </c>
      <c r="E27" s="11" t="inlineStr">
        <is>
          <t>Manual + API</t>
        </is>
      </c>
      <c r="F27" s="11" t="inlineStr">
        <is>
          <t>Navegador / Postman-Newman</t>
        </is>
      </c>
      <c r="G27" s="11" t="inlineStr">
        <is>
          <t>Benjamín González</t>
        </is>
      </c>
      <c r="H27" s="11" t="inlineStr"/>
      <c r="I27" s="11" t="inlineStr"/>
      <c r="J27" s="11" t="inlineStr">
        <is>
          <t>Pendiente</t>
        </is>
      </c>
      <c r="K27" s="11" t="inlineStr"/>
      <c r="L27" s="11" t="inlineStr"/>
      <c r="M27" s="11" t="inlineStr"/>
    </row>
    <row r="28">
      <c r="A28" s="11" t="inlineStr">
        <is>
          <t>CP 0024</t>
        </is>
      </c>
      <c r="B28" s="11" t="inlineStr">
        <is>
          <t>Proveedores</t>
        </is>
      </c>
      <c r="C28" s="11" t="inlineStr">
        <is>
          <t>RUT inválido</t>
        </is>
      </c>
      <c r="D28" s="11" t="inlineStr">
        <is>
          <t>Se muestra mensaje de RUT inválido</t>
        </is>
      </c>
      <c r="E28" s="11" t="inlineStr">
        <is>
          <t>Manual + API</t>
        </is>
      </c>
      <c r="F28" s="11" t="inlineStr">
        <is>
          <t>Navegador / Postman-Newman</t>
        </is>
      </c>
      <c r="G28" s="11" t="inlineStr">
        <is>
          <t>Benjamín González</t>
        </is>
      </c>
      <c r="H28" s="11" t="inlineStr"/>
      <c r="I28" s="11" t="inlineStr"/>
      <c r="J28" s="11" t="inlineStr">
        <is>
          <t>Pendiente</t>
        </is>
      </c>
      <c r="K28" s="11" t="inlineStr"/>
      <c r="L28" s="11" t="inlineStr"/>
      <c r="M28" s="11" t="inlineStr"/>
    </row>
    <row r="29">
      <c r="A29" s="11" t="inlineStr">
        <is>
          <t>CP 0025</t>
        </is>
      </c>
      <c r="B29" s="11" t="inlineStr">
        <is>
          <t>Ofertas</t>
        </is>
      </c>
      <c r="C29" s="11" t="inlineStr">
        <is>
          <t>Publicar oferta válida</t>
        </is>
      </c>
      <c r="D29" s="11" t="inlineStr">
        <is>
          <t>La oferta se publica y aparece en el comparador</t>
        </is>
      </c>
      <c r="E29" s="11" t="inlineStr">
        <is>
          <t>Manual + API</t>
        </is>
      </c>
      <c r="F29" s="11" t="inlineStr">
        <is>
          <t>Navegador / Postman-Newman</t>
        </is>
      </c>
      <c r="G29" s="11" t="inlineStr">
        <is>
          <t>Benjamín González</t>
        </is>
      </c>
      <c r="H29" s="11" t="inlineStr"/>
      <c r="I29" s="11" t="inlineStr"/>
      <c r="J29" s="11" t="inlineStr">
        <is>
          <t>Pendiente</t>
        </is>
      </c>
      <c r="K29" s="11" t="inlineStr"/>
      <c r="L29" s="11" t="inlineStr"/>
      <c r="M29" s="11" t="inlineStr"/>
    </row>
    <row r="30">
      <c r="A30" s="11" t="inlineStr">
        <is>
          <t>CP 0026</t>
        </is>
      </c>
      <c r="B30" s="11" t="inlineStr">
        <is>
          <t>Ofertas</t>
        </is>
      </c>
      <c r="C30" s="11" t="inlineStr">
        <is>
          <t>Precio sobre el tope permitido</t>
        </is>
      </c>
      <c r="D30" s="11" t="inlineStr">
        <is>
          <t>Se muestra mensaje de precio fuera de rango</t>
        </is>
      </c>
      <c r="E30" s="11" t="inlineStr">
        <is>
          <t>Manual + API</t>
        </is>
      </c>
      <c r="F30" s="11" t="inlineStr">
        <is>
          <t>Navegador / Postman-Newman</t>
        </is>
      </c>
      <c r="G30" s="11" t="inlineStr">
        <is>
          <t>Benjamín González</t>
        </is>
      </c>
      <c r="H30" s="11" t="inlineStr"/>
      <c r="I30" s="11" t="inlineStr"/>
      <c r="J30" s="11" t="inlineStr">
        <is>
          <t>Pendiente</t>
        </is>
      </c>
      <c r="K30" s="11" t="inlineStr"/>
      <c r="L30" s="11" t="inlineStr"/>
      <c r="M30" s="11" t="inlineStr"/>
    </row>
    <row r="31">
      <c r="A31" s="11" t="inlineStr">
        <is>
          <t>CP 0027</t>
        </is>
      </c>
      <c r="B31" s="11" t="inlineStr">
        <is>
          <t>Administración</t>
        </is>
      </c>
      <c r="C31" s="11" t="inlineStr">
        <is>
          <t>Aprobar proveedor</t>
        </is>
      </c>
      <c r="D31" s="11" t="inlineStr">
        <is>
          <t>El proveedor pasa a estado "activa"</t>
        </is>
      </c>
      <c r="E31" s="11" t="inlineStr">
        <is>
          <t>Manual</t>
        </is>
      </c>
      <c r="F31" s="11" t="inlineStr">
        <is>
          <t>Navegador (página administradora)</t>
        </is>
      </c>
      <c r="G31" s="11" t="inlineStr">
        <is>
          <t>Sebastián Ramírez</t>
        </is>
      </c>
      <c r="H31" s="11" t="inlineStr"/>
      <c r="I31" s="11" t="inlineStr"/>
      <c r="J31" s="11" t="inlineStr">
        <is>
          <t>Pendiente</t>
        </is>
      </c>
      <c r="K31" s="11" t="inlineStr"/>
      <c r="L31" s="11" t="inlineStr"/>
      <c r="M31" s="11" t="inlineStr"/>
    </row>
    <row r="32">
      <c r="A32" s="11" t="inlineStr">
        <is>
          <t>CP 0028</t>
        </is>
      </c>
      <c r="B32" s="11" t="inlineStr">
        <is>
          <t>Administración</t>
        </is>
      </c>
      <c r="C32" s="11" t="inlineStr">
        <is>
          <t>Crear producto en catálogo maestro</t>
        </is>
      </c>
      <c r="D32" s="11" t="inlineStr">
        <is>
          <t>El producto se crea en estado borrador</t>
        </is>
      </c>
      <c r="E32" s="11" t="inlineStr">
        <is>
          <t>Manual</t>
        </is>
      </c>
      <c r="F32" s="11" t="inlineStr">
        <is>
          <t>Navegador (página administradora)</t>
        </is>
      </c>
      <c r="G32" s="11" t="inlineStr">
        <is>
          <t>Sebastián Ramírez</t>
        </is>
      </c>
      <c r="H32" s="11" t="inlineStr"/>
      <c r="I32" s="11" t="inlineStr"/>
      <c r="J32" s="11" t="inlineStr">
        <is>
          <t>Pendiente</t>
        </is>
      </c>
      <c r="K32" s="11" t="inlineStr"/>
      <c r="L32" s="11" t="inlineStr"/>
      <c r="M32" s="11" t="inlineStr"/>
    </row>
    <row r="33">
      <c r="A33" s="11" t="inlineStr">
        <is>
          <t>CP 0029</t>
        </is>
      </c>
      <c r="B33" s="11" t="inlineStr">
        <is>
          <t>Administración</t>
        </is>
      </c>
      <c r="C33" s="11" t="inlineStr">
        <is>
          <t>Crear categoría</t>
        </is>
      </c>
      <c r="D33" s="11" t="inlineStr">
        <is>
          <t>La categoría se crea y se muestra en el listado</t>
        </is>
      </c>
      <c r="E33" s="11" t="inlineStr">
        <is>
          <t>Manual</t>
        </is>
      </c>
      <c r="F33" s="11" t="inlineStr">
        <is>
          <t>Navegador (página administradora)</t>
        </is>
      </c>
      <c r="G33" s="11" t="inlineStr">
        <is>
          <t>Sebastián Ramírez</t>
        </is>
      </c>
      <c r="H33" s="11" t="inlineStr"/>
      <c r="I33" s="11" t="inlineStr"/>
      <c r="J33" s="11" t="inlineStr">
        <is>
          <t>Pendiente</t>
        </is>
      </c>
      <c r="K33" s="11" t="inlineStr"/>
      <c r="L33" s="11" t="inlineStr"/>
      <c r="M33" s="11" t="inlineStr"/>
    </row>
    <row r="34">
      <c r="A34" s="11" t="inlineStr">
        <is>
          <t>CP 0030</t>
        </is>
      </c>
      <c r="B34" s="11" t="inlineStr">
        <is>
          <t>Administración</t>
        </is>
      </c>
      <c r="C34" s="11" t="inlineStr">
        <is>
          <t>Acceso sin rol administrador</t>
        </is>
      </c>
      <c r="D34" s="11" t="inlineStr">
        <is>
          <t>Se deniega el acceso al panel</t>
        </is>
      </c>
      <c r="E34" s="11" t="inlineStr">
        <is>
          <t>Manual</t>
        </is>
      </c>
      <c r="F34" s="11" t="inlineStr">
        <is>
          <t>Navegador (página administradora)</t>
        </is>
      </c>
      <c r="G34" s="11" t="inlineStr">
        <is>
          <t>Sebastián Ramírez</t>
        </is>
      </c>
      <c r="H34" s="11" t="inlineStr"/>
      <c r="I34" s="11" t="inlineStr"/>
      <c r="J34" s="11" t="inlineStr">
        <is>
          <t>Pendiente</t>
        </is>
      </c>
      <c r="K34" s="11" t="inlineStr"/>
      <c r="L34" s="11" t="inlineStr"/>
      <c r="M34" s="11" t="inlineStr"/>
    </row>
    <row r="35">
      <c r="A35" s="11" t="inlineStr">
        <is>
          <t>CP 0031</t>
        </is>
      </c>
      <c r="B35" s="11" t="inlineStr">
        <is>
          <t>App mobile</t>
        </is>
      </c>
      <c r="C35" s="11" t="inlineStr">
        <is>
          <t>Login y navegación por perfil</t>
        </is>
      </c>
      <c r="D35" s="11" t="inlineStr">
        <is>
          <t>Se muestra el menú del distribuidor</t>
        </is>
      </c>
      <c r="E35" s="11" t="inlineStr">
        <is>
          <t>Manual + Widget</t>
        </is>
      </c>
      <c r="F35" s="11" t="inlineStr">
        <is>
          <t>Dispositivo/emulador / Flutter test</t>
        </is>
      </c>
      <c r="G35" s="11" t="inlineStr">
        <is>
          <t>Samuel Alarcón</t>
        </is>
      </c>
      <c r="H35" s="11" t="inlineStr"/>
      <c r="I35" s="11" t="inlineStr"/>
      <c r="J35" s="11" t="inlineStr">
        <is>
          <t>Pendiente</t>
        </is>
      </c>
      <c r="K35" s="11" t="inlineStr"/>
      <c r="L35" s="11" t="inlineStr"/>
      <c r="M35" s="11" t="inlineStr"/>
    </row>
    <row r="36">
      <c r="A36" s="11" t="inlineStr">
        <is>
          <t>CP 0032</t>
        </is>
      </c>
      <c r="B36" s="11" t="inlineStr">
        <is>
          <t>Infraestructura</t>
        </is>
      </c>
      <c r="C36" s="11" t="inlineStr">
        <is>
          <t>Despliegue automático con pruebas</t>
        </is>
      </c>
      <c r="D36" s="11" t="inlineStr">
        <is>
          <t>Las pruebas pasan y el entorno se despliega automáticamente</t>
        </is>
      </c>
      <c r="E36" s="11" t="inlineStr">
        <is>
          <t>Automatizada</t>
        </is>
      </c>
      <c r="F36" s="11" t="inlineStr">
        <is>
          <t>GitHub Actions (Jest/Vitest + build Docker)</t>
        </is>
      </c>
      <c r="G36" s="11" t="inlineStr">
        <is>
          <t>Samuel Alarcón</t>
        </is>
      </c>
      <c r="H36" s="11" t="inlineStr">
        <is>
          <t>23/10/2026</t>
        </is>
      </c>
      <c r="I36" s="11" t="inlineStr">
        <is>
          <t>Workflow de GitHub Actions ejecuta las pruebas y despliega el entorno sin errores</t>
        </is>
      </c>
      <c r="J36" s="11" t="inlineStr">
        <is>
          <t>OK</t>
        </is>
      </c>
      <c r="K36" s="11" t="inlineStr"/>
      <c r="L36" s="11" t="inlineStr">
        <is>
          <t>Historial de ejecuciones en GitHub Actions (adjuntar link del run)</t>
        </is>
      </c>
      <c r="M36" s="11" t="inlineStr">
        <is>
          <t>Validado en el pipeline CI/CD</t>
        </is>
      </c>
    </row>
  </sheetData>
  <autoFilter ref="A4:M36"/>
  <conditionalFormatting sqref="J5:J200">
    <cfRule type="cellIs" priority="1" operator="equal" dxfId="0">
      <formula>"OK"</formula>
    </cfRule>
    <cfRule type="cellIs" priority="2" operator="equal" dxfId="1">
      <formula>"Falla"</formula>
    </cfRule>
    <cfRule type="cellIs" priority="3" operator="equal" dxfId="2">
      <formula>"Bloqueado"</formula>
    </cfRule>
    <cfRule type="cellIs" priority="4" operator="equal" dxfId="3">
      <formula>"Pendiente"</formula>
    </cfRule>
  </conditionalFormatting>
  <dataValidations count="1">
    <dataValidation sqref="J5:J200" showDropDown="0" showInputMessage="0" showErrorMessage="0" allowBlank="0" type="list">
      <formula1>"OK,Falla,Bloqueado,Pendiente"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50" customWidth="1" min="3" max="3"/>
    <col width="11" customWidth="1" min="4" max="4"/>
    <col width="14" customWidth="1" min="5" max="5"/>
    <col width="18" customWidth="1" min="6" max="6"/>
    <col width="20" customWidth="1" min="7" max="7"/>
    <col width="13" customWidth="1" min="8" max="8"/>
    <col width="11" customWidth="1" min="9" max="9"/>
    <col width="13" customWidth="1" min="10" max="10"/>
  </cols>
  <sheetData>
    <row r="1">
      <c r="A1" s="9" t="inlineStr">
        <is>
          <t>Registro de defectos detectados</t>
        </is>
      </c>
    </row>
    <row r="2">
      <c r="A2" s="8" t="inlineStr">
        <is>
          <t>Registrar aquí cada caso con estado Falla. Severidad: Crítica / Alta / Media / Baja. Estado: Abierto / En corrección / Corregido / Cerrado.</t>
        </is>
      </c>
    </row>
    <row r="3">
      <c r="A3" s="12" t="inlineStr">
        <is>
          <t>ID defecto</t>
        </is>
      </c>
      <c r="B3" s="12" t="inlineStr">
        <is>
          <t>ID caso</t>
        </is>
      </c>
      <c r="C3" s="12" t="inlineStr">
        <is>
          <t>Descripción del defecto</t>
        </is>
      </c>
      <c r="D3" s="12" t="inlineStr">
        <is>
          <t>Severidad</t>
        </is>
      </c>
      <c r="E3" s="12" t="inlineStr">
        <is>
          <t>Fecha detección</t>
        </is>
      </c>
      <c r="F3" s="12" t="inlineStr">
        <is>
          <t>Detectado por</t>
        </is>
      </c>
      <c r="G3" s="12" t="inlineStr">
        <is>
          <t>Responsable corrección</t>
        </is>
      </c>
      <c r="H3" s="12" t="inlineStr">
        <is>
          <t>Estado</t>
        </is>
      </c>
      <c r="I3" s="12" t="inlineStr">
        <is>
          <t>Tarea Jira</t>
        </is>
      </c>
      <c r="J3" s="12" t="inlineStr">
        <is>
          <t>Fecha cierre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</sheetData>
  <dataValidations count="2">
    <dataValidation sqref="D4:D200" showDropDown="0" showInputMessage="0" showErrorMessage="0" allowBlank="0" type="list">
      <formula1>"Crítica,Alta,Media,Baja"</formula1>
    </dataValidation>
    <dataValidation sqref="H4:H200" showDropDown="0" showInputMessage="0" showErrorMessage="0" allowBlank="0" type="list">
      <formula1>"Abierto,En corrección,Corregido,Cerrado"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2026-10-24T12:20:37Z</dcterms:created>
  <dcterms:modified xmlns:dcterms="http://purl.org/dc/terms/" xmlns:xsi="http://www.w3.org/2001/XMLSchema-instance" xsi:type="dcterms:W3CDTF">2026-10-24T12:20:37Z</dcterms:modified>
</cp:coreProperties>
</file>