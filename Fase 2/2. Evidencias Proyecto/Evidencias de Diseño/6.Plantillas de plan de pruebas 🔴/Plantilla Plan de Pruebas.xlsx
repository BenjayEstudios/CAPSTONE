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Identificación Casos" sheetId="2" r:id="rId5"/>
    <sheet state="visible" name="Control" sheetId="3" r:id="rId6"/>
    <sheet state="hidden" name="Datos del plan" sheetId="4" r:id="rId7"/>
  </sheets>
  <definedNames/>
  <calcPr/>
  <extLst>
    <ext uri="GoogleSheetsCustomDataVersion2">
      <go:sheetsCustomData xmlns:go="http://customooxmlschemas.google.com/" r:id="rId8" roundtripDataChecksum="Ir/Ge/ZqhpeLZSgV3FwuE6dUJnhu3ouc6DjS8VkjKlQ="/>
    </ext>
  </extLst>
</workbook>
</file>

<file path=xl/sharedStrings.xml><?xml version="1.0" encoding="utf-8"?>
<sst xmlns="http://schemas.openxmlformats.org/spreadsheetml/2006/main" count="188" uniqueCount="104">
  <si>
    <t xml:space="preserve"> </t>
  </si>
  <si>
    <t>Funcional</t>
  </si>
  <si>
    <t>OK</t>
  </si>
  <si>
    <t>Nombre de la prueba</t>
  </si>
  <si>
    <t>Baja</t>
  </si>
  <si>
    <t>Tipo</t>
  </si>
  <si>
    <t>SI</t>
  </si>
  <si>
    <t>Resultado esperado</t>
  </si>
  <si>
    <t>No Funcional</t>
  </si>
  <si>
    <t>NOK</t>
  </si>
  <si>
    <t>Resultado obtenido</t>
  </si>
  <si>
    <t>Media</t>
  </si>
  <si>
    <t>NO</t>
  </si>
  <si>
    <t>UAT</t>
  </si>
  <si>
    <t>No ejecutado</t>
  </si>
  <si>
    <t>Modulo a probar</t>
  </si>
  <si>
    <t>Alta</t>
  </si>
  <si>
    <t>Código</t>
  </si>
  <si>
    <t>Bloqueado</t>
  </si>
  <si>
    <t>End to End</t>
  </si>
  <si>
    <t>Obsoleto</t>
  </si>
  <si>
    <t>Resultado</t>
  </si>
  <si>
    <t>Stress</t>
  </si>
  <si>
    <t>Rendimiento</t>
  </si>
  <si>
    <t>Candidato a automatizar</t>
  </si>
  <si>
    <t>Carga</t>
  </si>
  <si>
    <t>Observación</t>
  </si>
  <si>
    <t>Responsable ejecución</t>
  </si>
  <si>
    <t>Complejidad</t>
  </si>
  <si>
    <t>CP_010</t>
  </si>
  <si>
    <t>Registro de comprador</t>
  </si>
  <si>
    <t>El comprador se registra con datos válidos y recibe la confirmación de su cuenta</t>
  </si>
  <si>
    <t>Autenticación</t>
  </si>
  <si>
    <t>Plan de pruebas Cotizapp</t>
  </si>
  <si>
    <t>Validar campos obligatorios y correo duplicado</t>
  </si>
  <si>
    <t>Benjamin Gonzalez</t>
  </si>
  <si>
    <t>CP_020</t>
  </si>
  <si>
    <t>Inicio de sesión con 2FA</t>
  </si>
  <si>
    <t>El usuario inicia sesión y valida el segundo factor de autenticación</t>
  </si>
  <si>
    <t>Probar código expirado e inválido</t>
  </si>
  <si>
    <t>Samuel Alarcon</t>
  </si>
  <si>
    <t>CP_030</t>
  </si>
  <si>
    <t>Registro y alta de proveedor</t>
  </si>
  <si>
    <t>El proveedor se registra y queda pendiente de aprobación del administrador</t>
  </si>
  <si>
    <t>Proveedores</t>
  </si>
  <si>
    <t>Verificar carga de documentos y cobertura</t>
  </si>
  <si>
    <t>Sebastian Ramirez</t>
  </si>
  <si>
    <t>CP_040</t>
  </si>
  <si>
    <t>Búsqueda de productos</t>
  </si>
  <si>
    <t>La búsqueda retorna los productos que coinciden con el término ingresado</t>
  </si>
  <si>
    <t>Catálogo</t>
  </si>
  <si>
    <t>Probar búsqueda sin resultados</t>
  </si>
  <si>
    <t>CP_050</t>
  </si>
  <si>
    <t>Filtros del catálogo</t>
  </si>
  <si>
    <t>El listado se filtra por categoría, precio, distribuidor y calificación</t>
  </si>
  <si>
    <t>Combinar varios filtros a la vez</t>
  </si>
  <si>
    <t>CP_060</t>
  </si>
  <si>
    <t>Comparador de proveedores</t>
  </si>
  <si>
    <t>La ficha muestra las ofertas de todos los proveedores ordenadas por precio</t>
  </si>
  <si>
    <t>Comparador</t>
  </si>
  <si>
    <t>Validar producto con un solo proveedor</t>
  </si>
  <si>
    <t>CP_070</t>
  </si>
  <si>
    <t>Carrito multiproveedor</t>
  </si>
  <si>
    <t>El carrito agrupa productos de distintos proveedores y calcula el total correctamente</t>
  </si>
  <si>
    <t>Carrito</t>
  </si>
  <si>
    <t>Verificar cambio de cantidades y eliminación</t>
  </si>
  <si>
    <t>CP_080</t>
  </si>
  <si>
    <t>Pago en pasarela sandbox</t>
  </si>
  <si>
    <t>El pago se aprueba en la pasarela sandbox y la orden queda en estado pagada</t>
  </si>
  <si>
    <t>Pagos</t>
  </si>
  <si>
    <t>Depende de las credenciales sandbox</t>
  </si>
  <si>
    <t>CP_090</t>
  </si>
  <si>
    <t>Orden con split por proveedor</t>
  </si>
  <si>
    <t>Se genera una suborden por cada proveedor con su monto correspondiente</t>
  </si>
  <si>
    <t>Ordenes</t>
  </si>
  <si>
    <t>Revisar montos y comisiones por proveedor</t>
  </si>
  <si>
    <t>CP_100</t>
  </si>
  <si>
    <t>Gestión de ofertas del proveedor</t>
  </si>
  <si>
    <t>El proveedor crea y edita ofertas con precios por volumen</t>
  </si>
  <si>
    <t>Ofertas</t>
  </si>
  <si>
    <t>Validar precios negativos o vacíos</t>
  </si>
  <si>
    <t>CP_110</t>
  </si>
  <si>
    <t>Catálogo maestro y categorías</t>
  </si>
  <si>
    <t>El administrador crea, edita y desactiva productos y categorías del catálogo maestro</t>
  </si>
  <si>
    <t>Administración</t>
  </si>
  <si>
    <t>Verificar permisos por rol</t>
  </si>
  <si>
    <t>CP_120</t>
  </si>
  <si>
    <t>Login y navegación en app mobile</t>
  </si>
  <si>
    <t>La app muestra el menú y las pantallas según el perfil (cliente o distribuidor)</t>
  </si>
  <si>
    <t>App mobile</t>
  </si>
  <si>
    <t>Probar en Android con ambos perfiles</t>
  </si>
  <si>
    <t>CP_130</t>
  </si>
  <si>
    <t>Despliegue automatizado (CI/CD)</t>
  </si>
  <si>
    <t>Al integrar cambios, GitHub Actions ejecuta las pruebas y despliega solo si todas pasan</t>
  </si>
  <si>
    <t>Ejecutado</t>
  </si>
  <si>
    <t>Infraestructura</t>
  </si>
  <si>
    <t>Verificar que un test fallido bloquee el despliegue</t>
  </si>
  <si>
    <t>Integrantes:
Samuel Alarcon, Jefe de proyecto
Benjamin Gonzales, Analista QA
Sebastian Ramirez, Tester QA</t>
  </si>
  <si>
    <t>Casos</t>
  </si>
  <si>
    <t>Total de casos</t>
  </si>
  <si>
    <t>% de  avance</t>
  </si>
  <si>
    <t>Total casos que ejecuto cada integrante del equipo</t>
  </si>
  <si>
    <t>Nombre alumno 4</t>
  </si>
  <si>
    <t>Total Casos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</si>
</sst>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sz val="11.0"/>
      <color rgb="FF000000"/>
      <name val="Calibri"/>
    </font>
    <font>
      <sz val="24.0"/>
      <color theme="1"/>
      <name val="Calibri"/>
    </font>
    <font/>
    <font>
      <sz val="11.0"/>
      <color rgb="FF000000"/>
      <name val="Inconsolata"/>
    </font>
    <font>
      <sz val="2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A"/>
        <bgColor rgb="FFE2EFDA"/>
      </patternFill>
    </fill>
  </fills>
  <borders count="3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2" fillId="2" fontId="1" numFmtId="0" xfId="0" applyAlignment="1" applyBorder="1" applyFill="1" applyFont="1">
      <alignment horizontal="center"/>
    </xf>
    <xf borderId="1" fillId="3" fontId="1" numFmtId="0" xfId="0" applyBorder="1" applyFill="1" applyFont="1"/>
    <xf borderId="0" fillId="0" fontId="2" numFmtId="0" xfId="0" applyFont="1"/>
    <xf borderId="2" fillId="2" fontId="1" numFmtId="0" xfId="0" applyBorder="1" applyFill="1" applyFont="1"/>
    <xf borderId="3" fillId="0" fontId="1" numFmtId="0" xfId="0" applyBorder="1" applyFont="1"/>
    <xf borderId="4" fillId="3" fontId="1" numFmtId="0" xfId="0" applyBorder="1" applyFill="1" applyFont="1"/>
    <xf borderId="5" fillId="0" fontId="1" numFmtId="0" xfId="0" applyBorder="1" applyFont="1"/>
    <xf borderId="6" fillId="3" fontId="1" numFmtId="0" xfId="0" applyBorder="1" applyFill="1" applyFont="1"/>
    <xf borderId="7" fillId="0" fontId="1" numFmtId="0" xfId="0" applyBorder="1" applyFont="1"/>
    <xf borderId="8" fillId="3" fontId="1" numFmtId="0" xfId="0" applyBorder="1" applyFill="1" applyFont="1"/>
    <xf borderId="7" fillId="4" fontId="1" numFmtId="1" xfId="0" applyAlignment="1" applyBorder="1" applyFill="1" applyFont="1" applyNumberFormat="1">
      <alignment readingOrder="0" shrinkToFit="0" vertical="center" wrapText="1"/>
    </xf>
    <xf borderId="7" fillId="4" fontId="3" numFmtId="0" xfId="0" applyAlignment="1" applyBorder="1" applyFill="1" applyFont="1">
      <alignment readingOrder="0"/>
    </xf>
    <xf borderId="9" fillId="3" fontId="1" numFmtId="0" xfId="0" applyBorder="1" applyFill="1" applyFont="1"/>
    <xf borderId="10" fillId="3" fontId="1" numFmtId="0" xfId="0" applyBorder="1" applyFill="1" applyFont="1"/>
    <xf borderId="7" fillId="4" fontId="1" numFmtId="0" xfId="0" applyAlignment="1" applyBorder="1" applyFill="1" applyFont="1">
      <alignment shrinkToFit="0" vertical="center" wrapText="1"/>
    </xf>
    <xf borderId="7" fillId="4" fontId="1" numFmtId="0" xfId="0" applyAlignment="1" applyBorder="1" applyFill="1" applyFont="1">
      <alignment readingOrder="0" vertical="center"/>
    </xf>
    <xf borderId="7" fillId="4" fontId="1" numFmtId="0" xfId="0" applyAlignment="1" applyBorder="1" applyFill="1" applyFont="1">
      <alignment readingOrder="0" shrinkToFit="0" vertical="center" wrapText="1"/>
    </xf>
    <xf borderId="7" fillId="4" fontId="1" numFmtId="0" xfId="0" applyAlignment="1" applyBorder="1" applyFill="1" applyFont="1">
      <alignment readingOrder="0" shrinkToFit="0" vertical="top" wrapText="1"/>
    </xf>
    <xf borderId="11" fillId="4" fontId="1" numFmtId="0" xfId="0" applyAlignment="1" applyBorder="1" applyFill="1" applyFont="1">
      <alignment readingOrder="0" shrinkToFit="0" vertical="center" wrapText="1"/>
    </xf>
    <xf borderId="12" fillId="3" fontId="4" numFmtId="0" xfId="0" applyAlignment="1" applyBorder="1" applyFill="1" applyFont="1">
      <alignment horizontal="center" readingOrder="0" vertical="center"/>
    </xf>
    <xf borderId="13" fillId="0" fontId="5" numFmtId="0" xfId="0" applyBorder="1" applyFont="1"/>
    <xf borderId="7" fillId="2" fontId="1" numFmtId="0" xfId="0" applyBorder="1" applyFill="1" applyFont="1"/>
    <xf borderId="1" fillId="2" fontId="1" numFmtId="0" xfId="0" applyBorder="1" applyFill="1" applyFont="1"/>
    <xf borderId="14" fillId="0" fontId="5" numFmtId="0" xfId="0" applyBorder="1" applyFont="1"/>
    <xf borderId="7" fillId="2" fontId="1" numFmtId="0" xfId="0" applyAlignment="1" applyBorder="1" applyFill="1" applyFont="1">
      <alignment readingOrder="0"/>
    </xf>
    <xf borderId="7" fillId="4" fontId="3" numFmtId="0" xfId="0" applyAlignment="1" applyBorder="1" applyFill="1" applyFont="1">
      <alignment readingOrder="0" vertical="center"/>
    </xf>
    <xf borderId="7" fillId="4" fontId="3" numFmtId="0" xfId="0" applyAlignment="1" applyBorder="1" applyFill="1" applyFont="1">
      <alignment readingOrder="0" shrinkToFit="0" vertical="top" wrapText="1"/>
    </xf>
    <xf borderId="12" fillId="3" fontId="1" numFmtId="0" xfId="0" applyAlignment="1" applyBorder="1" applyFill="1" applyFont="1">
      <alignment horizontal="left" shrinkToFit="0" vertical="top" wrapText="1"/>
    </xf>
    <xf borderId="15" fillId="3" fontId="1" numFmtId="0" xfId="0" applyBorder="1" applyFill="1" applyFont="1"/>
    <xf borderId="16" fillId="3" fontId="1" numFmtId="0" xfId="0" applyBorder="1" applyFill="1" applyFont="1"/>
    <xf borderId="17" fillId="3" fontId="1" numFmtId="0" xfId="0" applyBorder="1" applyFill="1" applyFont="1"/>
    <xf borderId="1" fillId="3" fontId="1" numFmtId="0" xfId="0" applyAlignment="1" applyBorder="1" applyFill="1" applyFont="1">
      <alignment horizontal="center"/>
    </xf>
    <xf borderId="1" fillId="2" fontId="6" numFmtId="0" xfId="0" applyBorder="1" applyFill="1" applyFont="1"/>
    <xf borderId="3" fillId="3" fontId="1" numFmtId="0" xfId="0" applyAlignment="1" applyBorder="1" applyFill="1" applyFont="1">
      <alignment horizontal="center" vertical="center"/>
    </xf>
    <xf borderId="7" fillId="3" fontId="1" numFmtId="0" xfId="0" applyAlignment="1" applyBorder="1" applyFill="1" applyFont="1">
      <alignment vertical="center"/>
    </xf>
    <xf borderId="7" fillId="3" fontId="1" numFmtId="0" xfId="0" applyAlignment="1" applyBorder="1" applyFill="1" applyFont="1">
      <alignment horizontal="center" vertical="center"/>
    </xf>
    <xf borderId="18" fillId="0" fontId="5" numFmtId="0" xfId="0" applyBorder="1" applyFont="1"/>
    <xf borderId="19" fillId="0" fontId="5" numFmtId="0" xfId="0" applyBorder="1" applyFont="1"/>
    <xf borderId="1" fillId="3" fontId="1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horizontal="center" vertical="center"/>
    </xf>
    <xf borderId="20" fillId="3" fontId="1" numFmtId="0" xfId="0" applyAlignment="1" applyBorder="1" applyFill="1" applyFont="1">
      <alignment vertical="center"/>
    </xf>
    <xf borderId="21" fillId="0" fontId="5" numFmtId="0" xfId="0" applyBorder="1" applyFont="1"/>
    <xf borderId="5" fillId="3" fontId="7" numFmtId="164" xfId="0" applyAlignment="1" applyBorder="1" applyFill="1" applyFont="1" applyNumberFormat="1">
      <alignment horizontal="center" vertical="center"/>
    </xf>
    <xf borderId="22" fillId="0" fontId="5" numFmtId="0" xfId="0" applyBorder="1" applyFont="1"/>
    <xf borderId="3" fillId="3" fontId="7" numFmtId="9" xfId="0" applyAlignment="1" applyBorder="1" applyFill="1" applyFont="1" applyNumberFormat="1">
      <alignment horizontal="center" vertical="center"/>
    </xf>
    <xf borderId="23" fillId="0" fontId="5" numFmtId="0" xfId="0" applyBorder="1" applyFont="1"/>
    <xf borderId="24" fillId="0" fontId="5" numFmtId="0" xfId="0" applyBorder="1" applyFont="1"/>
    <xf borderId="12" fillId="3" fontId="1" numFmtId="0" xfId="0" applyAlignment="1" applyBorder="1" applyFill="1" applyFont="1">
      <alignment horizontal="center" vertical="center"/>
    </xf>
    <xf borderId="5" fillId="3" fontId="1" numFmtId="0" xfId="0" applyAlignment="1" applyBorder="1" applyFill="1" applyFont="1">
      <alignment horizontal="center" shrinkToFit="0" vertical="center" wrapText="1"/>
    </xf>
    <xf borderId="25" fillId="0" fontId="5" numFmtId="0" xfId="0" applyBorder="1" applyFont="1"/>
    <xf borderId="20" fillId="3" fontId="1" numFmtId="0" xfId="0" applyBorder="1" applyFill="1" applyFont="1"/>
    <xf borderId="2" fillId="3" fontId="1" numFmtId="0" xfId="0" applyBorder="1" applyFill="1" applyFont="1"/>
    <xf borderId="26" fillId="0" fontId="5" numFmtId="0" xfId="0" applyBorder="1" applyFont="1"/>
    <xf borderId="27" fillId="0" fontId="5" numFmtId="0" xfId="0" applyBorder="1" applyFont="1"/>
    <xf borderId="20" fillId="4" fontId="1" numFmtId="0" xfId="0" applyAlignment="1" applyBorder="1" applyFill="1" applyFont="1">
      <alignment shrinkToFit="0" vertical="center" wrapText="1"/>
    </xf>
    <xf borderId="28" fillId="0" fontId="5" numFmtId="0" xfId="0" applyBorder="1" applyFont="1"/>
    <xf borderId="29" fillId="0" fontId="5" numFmtId="0" xfId="0" applyBorder="1" applyFont="1"/>
    <xf borderId="7" fillId="3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Series1</c:v>
          </c:tx>
          <c:spPr>
            <a:solidFill>
              <a:srgbClr val="4472C4"/>
            </a:solidFill>
            <a:ln cmpd="sng">
              <a:noFill/>
            </a:ln>
          </c:spPr>
          <c:invertIfNegative val="0"/>
          <c:cat>
            <c:strRef>
              <c:f>Control!$C$6:$C$10</c:f>
            </c:strRef>
          </c:cat>
          <c:val>
            <c:numRef>
              <c:f>Control!$D$6:$D$10</c:f>
              <c:numCache/>
            </c:numRef>
          </c:val>
        </c:ser>
        <c:axId val="477144069"/>
        <c:axId val="2113273147"/>
      </c:barChart>
      <c:catAx>
        <c:axId val="4771440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13273147"/>
      </c:catAx>
      <c:valAx>
        <c:axId val="21132731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7144069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Series1</c:v>
          </c:tx>
          <c:spPr>
            <a:solidFill>
              <a:srgbClr val="4472C4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F6B26B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D966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76A5AF"/>
              </a:solidFill>
              <a:ln cmpd="sng">
                <a:noFill/>
              </a:ln>
            </c:spPr>
          </c:dPt>
          <c:cat>
            <c:strRef>
              <c:f>Control!$E$36:$E$39</c:f>
            </c:strRef>
          </c:cat>
          <c:val>
            <c:numRef>
              <c:f>Control!$F$36:$F$39</c:f>
              <c:numCache/>
            </c:numRef>
          </c:val>
        </c:ser>
        <c:ser>
          <c:idx val="1"/>
          <c:order val="1"/>
          <c:invertIfNegative val="0"/>
          <c:cat>
            <c:strRef>
              <c:f>Control!$E$36:$E$39</c:f>
            </c:strRef>
          </c:cat>
          <c:val>
            <c:numRef>
              <c:f>Control!$G$36:$G$39</c:f>
              <c:numCache/>
            </c:numRef>
          </c:val>
        </c:ser>
        <c:axId val="783934736"/>
        <c:axId val="228836106"/>
      </c:barChart>
      <c:catAx>
        <c:axId val="78393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28836106"/>
      </c:catAx>
      <c:valAx>
        <c:axId val="228836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83934736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3</xdr:row>
      <xdr:rowOff>28575</xdr:rowOff>
    </xdr:from>
    <xdr:ext cx="4314825" cy="2714625"/>
    <xdr:graphicFrame>
      <xdr:nvGraphicFramePr>
        <xdr:cNvPr id="115331544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762000</xdr:colOff>
      <xdr:row>19</xdr:row>
      <xdr:rowOff>171450</xdr:rowOff>
    </xdr:from>
    <xdr:ext cx="4429125" cy="2571750"/>
    <xdr:graphicFrame>
      <xdr:nvGraphicFramePr>
        <xdr:cNvPr id="2141380757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.29"/>
    <col customWidth="1" min="4" max="10" width="9.43"/>
    <col customWidth="1" min="11" max="12" width="3.29"/>
    <col customWidth="1" min="13" max="25" width="10.71"/>
  </cols>
  <sheetData>
    <row r="1" ht="14.25" customHeight="1">
      <c r="A1" s="3">
        <v>1.0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/>
      <c r="C2" s="9"/>
      <c r="D2" s="9"/>
      <c r="E2" s="9"/>
      <c r="F2" s="9"/>
      <c r="G2" s="9"/>
      <c r="H2" s="9"/>
      <c r="I2" s="9"/>
      <c r="J2" s="9"/>
      <c r="K2" s="9"/>
      <c r="L2" s="11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14"/>
      <c r="C3" s="7"/>
      <c r="D3" s="9"/>
      <c r="E3" s="9"/>
      <c r="F3" s="9"/>
      <c r="G3" s="9"/>
      <c r="H3" s="9"/>
      <c r="I3" s="9"/>
      <c r="J3" s="9"/>
      <c r="K3" s="11"/>
      <c r="L3" s="15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14"/>
      <c r="C4" s="14"/>
      <c r="D4" s="3"/>
      <c r="E4" s="3"/>
      <c r="F4" s="3"/>
      <c r="G4" s="3"/>
      <c r="H4" s="3"/>
      <c r="I4" s="3"/>
      <c r="J4" s="3"/>
      <c r="K4" s="15"/>
      <c r="L4" s="15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14"/>
      <c r="C5" s="14"/>
      <c r="D5" s="3"/>
      <c r="E5" s="3"/>
      <c r="F5" s="3"/>
      <c r="G5" s="3"/>
      <c r="H5" s="3"/>
      <c r="I5" s="3"/>
      <c r="J5" s="3"/>
      <c r="K5" s="15"/>
      <c r="L5" s="15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4"/>
      <c r="C6" s="14"/>
      <c r="D6" s="3"/>
      <c r="E6" s="21" t="s">
        <v>33</v>
      </c>
      <c r="F6" s="22"/>
      <c r="G6" s="22"/>
      <c r="H6" s="22"/>
      <c r="I6" s="22"/>
      <c r="J6" s="3"/>
      <c r="K6" s="15"/>
      <c r="L6" s="15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14"/>
      <c r="C7" s="14"/>
      <c r="D7" s="3"/>
      <c r="E7" s="25"/>
      <c r="J7" s="3"/>
      <c r="K7" s="15"/>
      <c r="L7" s="1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14"/>
      <c r="C8" s="14"/>
      <c r="D8" s="3"/>
      <c r="E8" s="25"/>
      <c r="J8" s="3"/>
      <c r="K8" s="15"/>
      <c r="L8" s="1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14"/>
      <c r="C9" s="14"/>
      <c r="D9" s="3"/>
      <c r="E9" s="25"/>
      <c r="J9" s="3"/>
      <c r="K9" s="15"/>
      <c r="L9" s="15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14"/>
      <c r="C10" s="14"/>
      <c r="D10" s="3"/>
      <c r="E10" s="25"/>
      <c r="J10" s="3"/>
      <c r="K10" s="15"/>
      <c r="L10" s="15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14"/>
      <c r="C11" s="14"/>
      <c r="D11" s="3"/>
      <c r="E11" s="3"/>
      <c r="F11" s="3"/>
      <c r="G11" s="3"/>
      <c r="H11" s="3"/>
      <c r="I11" s="3"/>
      <c r="J11" s="3"/>
      <c r="K11" s="15"/>
      <c r="L11" s="15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14"/>
      <c r="C12" s="14"/>
      <c r="D12" s="3"/>
      <c r="E12" s="3"/>
      <c r="F12" s="3"/>
      <c r="G12" s="3"/>
      <c r="H12" s="3"/>
      <c r="I12" s="3"/>
      <c r="J12" s="3"/>
      <c r="K12" s="15"/>
      <c r="L12" s="15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14"/>
      <c r="C13" s="14"/>
      <c r="D13" s="3"/>
      <c r="E13" s="3"/>
      <c r="F13" s="3"/>
      <c r="G13" s="3"/>
      <c r="H13" s="3"/>
      <c r="I13" s="3"/>
      <c r="J13" s="3"/>
      <c r="K13" s="15"/>
      <c r="L13" s="1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14"/>
      <c r="C14" s="14"/>
      <c r="D14" s="3"/>
      <c r="E14" s="3"/>
      <c r="F14" s="3"/>
      <c r="G14" s="3"/>
      <c r="H14" s="3"/>
      <c r="I14" s="3"/>
      <c r="J14" s="3"/>
      <c r="K14" s="15"/>
      <c r="L14" s="1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14"/>
      <c r="C15" s="14"/>
      <c r="D15" s="3"/>
      <c r="E15" s="3"/>
      <c r="F15" s="3"/>
      <c r="G15" s="3"/>
      <c r="H15" s="3"/>
      <c r="I15" s="3"/>
      <c r="J15" s="3"/>
      <c r="K15" s="15"/>
      <c r="L15" s="1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14"/>
      <c r="C16" s="14"/>
      <c r="D16" s="3"/>
      <c r="E16" s="3"/>
      <c r="F16" s="3"/>
      <c r="G16" s="3"/>
      <c r="H16" s="3"/>
      <c r="I16" s="3"/>
      <c r="J16" s="3"/>
      <c r="K16" s="15"/>
      <c r="L16" s="15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14"/>
      <c r="C17" s="14"/>
      <c r="D17" s="3"/>
      <c r="E17" s="3"/>
      <c r="F17" s="3"/>
      <c r="G17" s="3"/>
      <c r="H17" s="3"/>
      <c r="I17" s="3"/>
      <c r="J17" s="3"/>
      <c r="K17" s="15"/>
      <c r="L17" s="15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14"/>
      <c r="C18" s="14"/>
      <c r="D18" s="3"/>
      <c r="E18" s="3"/>
      <c r="F18" s="3"/>
      <c r="G18" s="3"/>
      <c r="H18" s="3"/>
      <c r="I18" s="3"/>
      <c r="J18" s="3"/>
      <c r="K18" s="15"/>
      <c r="L18" s="1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14"/>
      <c r="C19" s="14"/>
      <c r="D19" s="3"/>
      <c r="E19" s="3"/>
      <c r="F19" s="3"/>
      <c r="G19" s="3"/>
      <c r="H19" s="3"/>
      <c r="I19" s="3"/>
      <c r="J19" s="3"/>
      <c r="K19" s="15"/>
      <c r="L19" s="1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14"/>
      <c r="C20" s="14"/>
      <c r="D20" s="3"/>
      <c r="E20" s="3"/>
      <c r="F20" s="3"/>
      <c r="G20" s="3"/>
      <c r="H20" s="3"/>
      <c r="I20" s="3"/>
      <c r="J20" s="3"/>
      <c r="K20" s="15"/>
      <c r="L20" s="1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14"/>
      <c r="C21" s="14"/>
      <c r="D21" s="3"/>
      <c r="E21" s="3"/>
      <c r="F21" s="3"/>
      <c r="G21" s="3"/>
      <c r="H21" s="3"/>
      <c r="I21" s="3"/>
      <c r="J21" s="3"/>
      <c r="K21" s="15"/>
      <c r="L21" s="1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14"/>
      <c r="C22" s="14"/>
      <c r="D22" s="3"/>
      <c r="E22" s="3"/>
      <c r="F22" s="3"/>
      <c r="G22" s="3"/>
      <c r="H22" s="3"/>
      <c r="I22" s="3"/>
      <c r="J22" s="3"/>
      <c r="K22" s="15"/>
      <c r="L22" s="15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14"/>
      <c r="C23" s="14"/>
      <c r="D23" s="3"/>
      <c r="E23" s="3"/>
      <c r="F23" s="3"/>
      <c r="G23" s="3"/>
      <c r="H23" s="3"/>
      <c r="I23" s="3"/>
      <c r="J23" s="3"/>
      <c r="K23" s="15"/>
      <c r="L23" s="1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14"/>
      <c r="C24" s="14"/>
      <c r="D24" s="3"/>
      <c r="E24" s="3"/>
      <c r="F24" s="3"/>
      <c r="G24" s="3"/>
      <c r="H24" s="3"/>
      <c r="I24" s="3"/>
      <c r="J24" s="3"/>
      <c r="K24" s="15"/>
      <c r="L24" s="1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14"/>
      <c r="C25" s="14"/>
      <c r="D25" s="3"/>
      <c r="E25" s="3"/>
      <c r="F25" s="3"/>
      <c r="G25" s="3"/>
      <c r="H25" s="3"/>
      <c r="I25" s="3"/>
      <c r="J25" s="3"/>
      <c r="K25" s="15"/>
      <c r="L25" s="1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14"/>
      <c r="C26" s="14"/>
      <c r="D26" s="3"/>
      <c r="E26" s="3"/>
      <c r="F26" s="3"/>
      <c r="G26" s="3"/>
      <c r="H26" s="3"/>
      <c r="I26" s="3"/>
      <c r="J26" s="3"/>
      <c r="K26" s="15"/>
      <c r="L26" s="1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14"/>
      <c r="C27" s="14"/>
      <c r="D27" s="3"/>
      <c r="E27" s="3"/>
      <c r="F27" s="3"/>
      <c r="G27" s="3"/>
      <c r="H27" s="3"/>
      <c r="I27" s="3"/>
      <c r="J27" s="3"/>
      <c r="K27" s="15"/>
      <c r="L27" s="1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14"/>
      <c r="C28" s="14"/>
      <c r="D28" s="3"/>
      <c r="E28" s="3"/>
      <c r="F28" s="3"/>
      <c r="G28" s="3"/>
      <c r="H28" s="3"/>
      <c r="I28" s="3"/>
      <c r="J28" s="3"/>
      <c r="K28" s="15"/>
      <c r="L28" s="1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14"/>
      <c r="C29" s="14"/>
      <c r="D29" s="3"/>
      <c r="E29" s="3"/>
      <c r="F29" s="3"/>
      <c r="G29" s="3"/>
      <c r="H29" s="3"/>
      <c r="I29" s="3"/>
      <c r="J29" s="3"/>
      <c r="K29" s="15"/>
      <c r="L29" s="1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14"/>
      <c r="C30" s="14"/>
      <c r="D30" s="3"/>
      <c r="E30" s="3"/>
      <c r="F30" s="3"/>
      <c r="G30" s="3"/>
      <c r="H30" s="3"/>
      <c r="I30" s="3"/>
      <c r="J30" s="3"/>
      <c r="K30" s="15"/>
      <c r="L30" s="1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14"/>
      <c r="C31" s="14"/>
      <c r="D31" s="3"/>
      <c r="E31" s="3"/>
      <c r="F31" s="3"/>
      <c r="G31" s="3"/>
      <c r="H31" s="3"/>
      <c r="I31" s="3"/>
      <c r="J31" s="3"/>
      <c r="K31" s="15"/>
      <c r="L31" s="1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14"/>
      <c r="C32" s="14"/>
      <c r="D32" s="3"/>
      <c r="E32" s="3"/>
      <c r="F32" s="3"/>
      <c r="G32" s="3"/>
      <c r="H32" s="3"/>
      <c r="I32" s="3"/>
      <c r="J32" s="3"/>
      <c r="K32" s="15"/>
      <c r="L32" s="15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14"/>
      <c r="C33" s="14"/>
      <c r="D33" s="3"/>
      <c r="E33" s="3"/>
      <c r="F33" s="3"/>
      <c r="G33" s="3"/>
      <c r="H33" s="3"/>
      <c r="I33" s="3"/>
      <c r="J33" s="3"/>
      <c r="K33" s="15"/>
      <c r="L33" s="15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14"/>
      <c r="C34" s="14"/>
      <c r="D34" s="3"/>
      <c r="E34" s="3"/>
      <c r="F34" s="3"/>
      <c r="G34" s="3"/>
      <c r="H34" s="3"/>
      <c r="I34" s="3"/>
      <c r="J34" s="3"/>
      <c r="K34" s="15"/>
      <c r="L34" s="15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14"/>
      <c r="C35" s="14"/>
      <c r="D35" s="3"/>
      <c r="E35" s="29" t="s">
        <v>97</v>
      </c>
      <c r="F35" s="22"/>
      <c r="G35" s="22"/>
      <c r="H35" s="22"/>
      <c r="I35" s="22"/>
      <c r="J35" s="3"/>
      <c r="K35" s="15"/>
      <c r="L35" s="15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14"/>
      <c r="C36" s="14"/>
      <c r="D36" s="3"/>
      <c r="E36" s="25"/>
      <c r="J36" s="3"/>
      <c r="K36" s="15"/>
      <c r="L36" s="15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14"/>
      <c r="C37" s="14"/>
      <c r="D37" s="3"/>
      <c r="E37" s="25"/>
      <c r="J37" s="3"/>
      <c r="K37" s="15"/>
      <c r="L37" s="15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14"/>
      <c r="C38" s="14"/>
      <c r="D38" s="3"/>
      <c r="E38" s="25"/>
      <c r="J38" s="3"/>
      <c r="K38" s="15"/>
      <c r="L38" s="15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14"/>
      <c r="C39" s="14"/>
      <c r="D39" s="3"/>
      <c r="E39" s="25"/>
      <c r="J39" s="3"/>
      <c r="K39" s="15"/>
      <c r="L39" s="1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14"/>
      <c r="C40" s="14"/>
      <c r="D40" s="3"/>
      <c r="E40" s="3"/>
      <c r="F40" s="3"/>
      <c r="G40" s="3"/>
      <c r="H40" s="3"/>
      <c r="I40" s="3"/>
      <c r="J40" s="3"/>
      <c r="K40" s="15"/>
      <c r="L40" s="1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14"/>
      <c r="C41" s="14"/>
      <c r="D41" s="3"/>
      <c r="E41" s="3"/>
      <c r="F41" s="3"/>
      <c r="G41" s="3"/>
      <c r="H41" s="3"/>
      <c r="I41" s="3"/>
      <c r="J41" s="3"/>
      <c r="K41" s="15"/>
      <c r="L41" s="15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14"/>
      <c r="C42" s="14"/>
      <c r="D42" s="3"/>
      <c r="E42" s="3"/>
      <c r="F42" s="3"/>
      <c r="G42" s="3"/>
      <c r="H42" s="3"/>
      <c r="I42" s="3"/>
      <c r="J42" s="3"/>
      <c r="K42" s="15"/>
      <c r="L42" s="1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14"/>
      <c r="C43" s="30"/>
      <c r="D43" s="31"/>
      <c r="E43" s="31"/>
      <c r="F43" s="31"/>
      <c r="G43" s="31"/>
      <c r="H43" s="31"/>
      <c r="I43" s="31"/>
      <c r="J43" s="31"/>
      <c r="K43" s="32"/>
      <c r="L43" s="15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6:I10"/>
    <mergeCell ref="E35:I3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2" max="2" width="26.43"/>
    <col customWidth="1" min="4" max="4" width="56.14"/>
    <col customWidth="1" min="5" max="5" width="18.29"/>
    <col customWidth="1" min="6" max="6" width="24.71"/>
    <col customWidth="1" min="8" max="8" width="24.14"/>
    <col customWidth="1" min="9" max="9" width="33.71"/>
    <col customWidth="1" min="10" max="10" width="22.43"/>
  </cols>
  <sheetData>
    <row r="1" ht="14.25" customHeight="1">
      <c r="A1" s="2" t="s">
        <v>0</v>
      </c>
      <c r="B1" s="2" t="s">
        <v>3</v>
      </c>
      <c r="C1" s="2" t="s">
        <v>5</v>
      </c>
      <c r="D1" s="2" t="s">
        <v>7</v>
      </c>
      <c r="E1" s="2" t="s">
        <v>10</v>
      </c>
      <c r="F1" s="5" t="s">
        <v>15</v>
      </c>
      <c r="G1" s="5" t="s">
        <v>21</v>
      </c>
      <c r="H1" s="6" t="s">
        <v>24</v>
      </c>
      <c r="I1" s="6" t="s">
        <v>26</v>
      </c>
      <c r="J1" s="8" t="s">
        <v>27</v>
      </c>
      <c r="K1" s="10" t="s">
        <v>28</v>
      </c>
      <c r="L1" s="1"/>
    </row>
    <row r="2" ht="14.25" customHeight="1">
      <c r="A2" s="12" t="s">
        <v>29</v>
      </c>
      <c r="B2" s="13" t="s">
        <v>30</v>
      </c>
      <c r="C2" s="16" t="s">
        <v>1</v>
      </c>
      <c r="D2" s="17" t="s">
        <v>31</v>
      </c>
      <c r="E2" s="17" t="s">
        <v>14</v>
      </c>
      <c r="F2" s="16" t="s">
        <v>32</v>
      </c>
      <c r="G2" s="18" t="s">
        <v>14</v>
      </c>
      <c r="H2" s="16" t="s">
        <v>6</v>
      </c>
      <c r="I2" s="19" t="s">
        <v>34</v>
      </c>
      <c r="J2" s="20" t="s">
        <v>35</v>
      </c>
      <c r="K2" s="23" t="s">
        <v>4</v>
      </c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4.25" customHeight="1">
      <c r="A3" s="12" t="s">
        <v>36</v>
      </c>
      <c r="B3" s="13" t="s">
        <v>37</v>
      </c>
      <c r="C3" s="16" t="s">
        <v>1</v>
      </c>
      <c r="D3" s="17" t="s">
        <v>38</v>
      </c>
      <c r="E3" s="17" t="s">
        <v>14</v>
      </c>
      <c r="F3" s="16" t="s">
        <v>32</v>
      </c>
      <c r="G3" s="18" t="s">
        <v>14</v>
      </c>
      <c r="H3" s="16" t="s">
        <v>6</v>
      </c>
      <c r="I3" s="19" t="s">
        <v>39</v>
      </c>
      <c r="J3" s="20" t="s">
        <v>40</v>
      </c>
      <c r="K3" s="26" t="s">
        <v>11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4.25" customHeight="1">
      <c r="A4" s="12" t="s">
        <v>41</v>
      </c>
      <c r="B4" s="13" t="s">
        <v>42</v>
      </c>
      <c r="C4" s="16" t="s">
        <v>1</v>
      </c>
      <c r="D4" s="17" t="s">
        <v>43</v>
      </c>
      <c r="E4" s="17" t="s">
        <v>14</v>
      </c>
      <c r="F4" s="18" t="s">
        <v>44</v>
      </c>
      <c r="G4" s="18" t="s">
        <v>14</v>
      </c>
      <c r="H4" s="16" t="s">
        <v>6</v>
      </c>
      <c r="I4" s="19" t="s">
        <v>45</v>
      </c>
      <c r="J4" s="20" t="s">
        <v>46</v>
      </c>
      <c r="K4" s="23" t="s">
        <v>11</v>
      </c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4.25" customHeight="1">
      <c r="A5" s="12" t="s">
        <v>47</v>
      </c>
      <c r="B5" s="13" t="s">
        <v>48</v>
      </c>
      <c r="C5" s="16" t="s">
        <v>1</v>
      </c>
      <c r="D5" s="17" t="s">
        <v>49</v>
      </c>
      <c r="E5" s="17" t="s">
        <v>14</v>
      </c>
      <c r="F5" s="18" t="s">
        <v>50</v>
      </c>
      <c r="G5" s="18" t="s">
        <v>14</v>
      </c>
      <c r="H5" s="16" t="s">
        <v>6</v>
      </c>
      <c r="I5" s="19" t="s">
        <v>51</v>
      </c>
      <c r="J5" s="20" t="s">
        <v>35</v>
      </c>
      <c r="K5" s="26" t="s">
        <v>4</v>
      </c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4.25" customHeight="1">
      <c r="A6" s="12" t="s">
        <v>52</v>
      </c>
      <c r="B6" s="13" t="s">
        <v>53</v>
      </c>
      <c r="C6" s="16" t="s">
        <v>1</v>
      </c>
      <c r="D6" s="27" t="s">
        <v>54</v>
      </c>
      <c r="E6" s="17" t="s">
        <v>14</v>
      </c>
      <c r="F6" s="18" t="s">
        <v>50</v>
      </c>
      <c r="G6" s="18" t="s">
        <v>14</v>
      </c>
      <c r="H6" s="16" t="s">
        <v>6</v>
      </c>
      <c r="I6" s="19" t="s">
        <v>55</v>
      </c>
      <c r="J6" s="20" t="s">
        <v>35</v>
      </c>
      <c r="K6" s="26" t="s">
        <v>4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4.25" customHeight="1">
      <c r="A7" s="12" t="s">
        <v>56</v>
      </c>
      <c r="B7" s="13" t="s">
        <v>57</v>
      </c>
      <c r="C7" s="16" t="s">
        <v>1</v>
      </c>
      <c r="D7" s="27" t="s">
        <v>58</v>
      </c>
      <c r="E7" s="17" t="s">
        <v>14</v>
      </c>
      <c r="F7" s="18" t="s">
        <v>59</v>
      </c>
      <c r="G7" s="18" t="s">
        <v>14</v>
      </c>
      <c r="H7" s="16" t="s">
        <v>6</v>
      </c>
      <c r="I7" s="19" t="s">
        <v>60</v>
      </c>
      <c r="J7" s="20" t="s">
        <v>35</v>
      </c>
      <c r="K7" s="23" t="s">
        <v>11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4.25" customHeight="1">
      <c r="A8" s="12" t="s">
        <v>61</v>
      </c>
      <c r="B8" s="13" t="s">
        <v>62</v>
      </c>
      <c r="C8" s="16" t="s">
        <v>1</v>
      </c>
      <c r="D8" s="17" t="s">
        <v>63</v>
      </c>
      <c r="E8" s="17" t="s">
        <v>14</v>
      </c>
      <c r="F8" s="18" t="s">
        <v>64</v>
      </c>
      <c r="G8" s="18" t="s">
        <v>14</v>
      </c>
      <c r="H8" s="16" t="s">
        <v>6</v>
      </c>
      <c r="I8" s="19" t="s">
        <v>65</v>
      </c>
      <c r="J8" s="20" t="s">
        <v>46</v>
      </c>
      <c r="K8" s="23" t="s">
        <v>11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4.25" customHeight="1">
      <c r="A9" s="12" t="s">
        <v>66</v>
      </c>
      <c r="B9" s="13" t="s">
        <v>67</v>
      </c>
      <c r="C9" s="16" t="s">
        <v>1</v>
      </c>
      <c r="D9" s="17" t="s">
        <v>68</v>
      </c>
      <c r="E9" s="17" t="s">
        <v>14</v>
      </c>
      <c r="F9" s="18" t="s">
        <v>69</v>
      </c>
      <c r="G9" s="18" t="s">
        <v>14</v>
      </c>
      <c r="H9" s="18" t="s">
        <v>12</v>
      </c>
      <c r="I9" s="19" t="s">
        <v>70</v>
      </c>
      <c r="J9" s="20" t="s">
        <v>46</v>
      </c>
      <c r="K9" s="26" t="s">
        <v>16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4.25" customHeight="1">
      <c r="A10" s="12" t="s">
        <v>71</v>
      </c>
      <c r="B10" s="13" t="s">
        <v>72</v>
      </c>
      <c r="C10" s="16" t="s">
        <v>1</v>
      </c>
      <c r="D10" s="17" t="s">
        <v>73</v>
      </c>
      <c r="E10" s="17" t="s">
        <v>14</v>
      </c>
      <c r="F10" s="18" t="s">
        <v>74</v>
      </c>
      <c r="G10" s="18" t="s">
        <v>14</v>
      </c>
      <c r="H10" s="16" t="s">
        <v>6</v>
      </c>
      <c r="I10" s="19" t="s">
        <v>75</v>
      </c>
      <c r="J10" s="20" t="s">
        <v>46</v>
      </c>
      <c r="K10" s="26" t="s">
        <v>16</v>
      </c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2.75" customHeight="1">
      <c r="A11" s="12" t="s">
        <v>76</v>
      </c>
      <c r="B11" s="13" t="s">
        <v>77</v>
      </c>
      <c r="C11" s="16" t="s">
        <v>1</v>
      </c>
      <c r="D11" s="17" t="s">
        <v>78</v>
      </c>
      <c r="E11" s="17" t="s">
        <v>14</v>
      </c>
      <c r="F11" s="18" t="s">
        <v>79</v>
      </c>
      <c r="G11" s="18" t="s">
        <v>14</v>
      </c>
      <c r="H11" s="16" t="s">
        <v>6</v>
      </c>
      <c r="I11" s="28" t="s">
        <v>80</v>
      </c>
      <c r="J11" s="20" t="s">
        <v>35</v>
      </c>
      <c r="K11" s="23" t="s">
        <v>11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3.5" customHeight="1">
      <c r="A12" s="12" t="s">
        <v>81</v>
      </c>
      <c r="B12" s="13" t="s">
        <v>82</v>
      </c>
      <c r="C12" s="16" t="s">
        <v>1</v>
      </c>
      <c r="D12" s="17" t="s">
        <v>83</v>
      </c>
      <c r="E12" s="17" t="s">
        <v>14</v>
      </c>
      <c r="F12" s="18" t="s">
        <v>84</v>
      </c>
      <c r="G12" s="18" t="s">
        <v>14</v>
      </c>
      <c r="H12" s="16" t="s">
        <v>6</v>
      </c>
      <c r="I12" s="28" t="s">
        <v>85</v>
      </c>
      <c r="J12" s="20" t="s">
        <v>46</v>
      </c>
      <c r="K12" s="23" t="s">
        <v>11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4.25" customHeight="1">
      <c r="A13" s="12" t="s">
        <v>86</v>
      </c>
      <c r="B13" s="13" t="s">
        <v>87</v>
      </c>
      <c r="C13" s="16" t="s">
        <v>1</v>
      </c>
      <c r="D13" s="17" t="s">
        <v>88</v>
      </c>
      <c r="E13" s="17" t="s">
        <v>14</v>
      </c>
      <c r="F13" s="18" t="s">
        <v>89</v>
      </c>
      <c r="G13" s="18" t="s">
        <v>14</v>
      </c>
      <c r="H13" s="18" t="s">
        <v>6</v>
      </c>
      <c r="I13" s="28" t="s">
        <v>90</v>
      </c>
      <c r="J13" s="20" t="s">
        <v>40</v>
      </c>
      <c r="K13" s="26" t="s">
        <v>11</v>
      </c>
    </row>
    <row r="14" ht="14.25" customHeight="1">
      <c r="A14" s="12" t="s">
        <v>91</v>
      </c>
      <c r="B14" s="13" t="s">
        <v>92</v>
      </c>
      <c r="C14" s="16" t="s">
        <v>1</v>
      </c>
      <c r="D14" s="17" t="s">
        <v>93</v>
      </c>
      <c r="E14" s="17" t="s">
        <v>94</v>
      </c>
      <c r="F14" s="18" t="s">
        <v>95</v>
      </c>
      <c r="G14" s="18" t="s">
        <v>2</v>
      </c>
      <c r="H14" s="18" t="s">
        <v>6</v>
      </c>
      <c r="I14" s="28" t="s">
        <v>96</v>
      </c>
      <c r="J14" s="20" t="s">
        <v>40</v>
      </c>
      <c r="K14" s="23" t="s">
        <v>11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14">
      <formula1>'Datos del plan'!$A$1:$A$8</formula1>
    </dataValidation>
    <dataValidation type="list" allowBlank="1" showErrorMessage="1" sqref="E2:E14">
      <formula1>"No ejecutado,Ejecutado"</formula1>
    </dataValidation>
    <dataValidation type="list" allowBlank="1" showErrorMessage="1" sqref="G2:G14">
      <formula1>'Datos del plan'!$B$1:$B$5</formula1>
    </dataValidation>
    <dataValidation type="list" allowBlank="1" showErrorMessage="1" sqref="H2:H14">
      <formula1>'Datos del plan'!$D$1:$D$2</formula1>
    </dataValidation>
    <dataValidation type="list" allowBlank="1" showErrorMessage="1" sqref="K2:K14">
      <formula1>'Datos del plan'!$C$1:$C$3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6.14"/>
    <col customWidth="1" min="4" max="4" width="11.57"/>
    <col customWidth="1" min="5" max="5" width="4.86"/>
    <col customWidth="1" min="6" max="6" width="17.0"/>
    <col customWidth="1" min="7" max="11" width="10.71"/>
    <col customWidth="1" min="12" max="12" width="5.43"/>
    <col customWidth="1" min="13" max="26" width="10.71"/>
  </cols>
  <sheetData>
    <row r="1" ht="14.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W1" s="3"/>
    </row>
    <row r="2" ht="14.25" customHeight="1">
      <c r="A2" s="3"/>
      <c r="B2" s="33"/>
      <c r="C2" s="33"/>
      <c r="D2" s="3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Z2" s="3"/>
    </row>
    <row r="3" ht="14.25" customHeight="1">
      <c r="A3" s="3"/>
      <c r="B3" s="33"/>
      <c r="C3" s="33"/>
      <c r="D3" s="3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Z3" s="3"/>
    </row>
    <row r="4" ht="14.25" customHeight="1">
      <c r="A4" s="3"/>
      <c r="B4" s="33"/>
      <c r="C4" s="33"/>
      <c r="D4" s="3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Z4" s="3"/>
    </row>
    <row r="5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4"/>
      <c r="Q5" s="3"/>
      <c r="R5" s="3"/>
      <c r="Z5" s="3"/>
    </row>
    <row r="6" ht="14.25" customHeight="1">
      <c r="A6" s="3"/>
      <c r="B6" s="35" t="s">
        <v>98</v>
      </c>
      <c r="C6" s="36" t="s">
        <v>2</v>
      </c>
      <c r="D6" s="37">
        <f>COUNTIF('Identificación Casos'!$G$2:$G$36,C6)</f>
        <v>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4"/>
      <c r="Q6" s="3"/>
      <c r="R6" s="3"/>
      <c r="Z6" s="3"/>
    </row>
    <row r="7" ht="14.25" customHeight="1">
      <c r="A7" s="3"/>
      <c r="B7" s="38"/>
      <c r="C7" s="36" t="s">
        <v>9</v>
      </c>
      <c r="D7" s="37">
        <f>COUNTIF('Identificación Casos'!$G$2:$G$36,C7)</f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Z7" s="3"/>
    </row>
    <row r="8" ht="14.25" customHeight="1">
      <c r="A8" s="3"/>
      <c r="B8" s="38"/>
      <c r="C8" s="36" t="s">
        <v>14</v>
      </c>
      <c r="D8" s="37">
        <f>COUNTIF('Identificación Casos'!$G$2:$G$36,C8)</f>
        <v>12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Z8" s="3"/>
    </row>
    <row r="9" ht="14.25" customHeight="1">
      <c r="A9" s="3"/>
      <c r="B9" s="38"/>
      <c r="C9" s="36" t="s">
        <v>18</v>
      </c>
      <c r="D9" s="37">
        <f>COUNTIF('Identificación Casos'!$G$2:$G$36,C9)</f>
        <v>0</v>
      </c>
      <c r="E9" s="3"/>
      <c r="F9" s="3"/>
      <c r="G9" s="3"/>
      <c r="H9" s="3"/>
      <c r="I9" s="3"/>
      <c r="J9" s="3"/>
      <c r="K9" s="3"/>
      <c r="L9" s="3"/>
      <c r="M9" s="3"/>
      <c r="N9" s="3"/>
      <c r="O9" s="34"/>
      <c r="P9" s="3"/>
      <c r="Q9" s="3"/>
      <c r="R9" s="3"/>
      <c r="Z9" s="3"/>
    </row>
    <row r="10" ht="14.25" customHeight="1">
      <c r="A10" s="3"/>
      <c r="B10" s="39"/>
      <c r="C10" s="36" t="s">
        <v>20</v>
      </c>
      <c r="D10" s="37">
        <f>COUNTIF('Identificación Casos'!$G$2:$G$36,C10)</f>
        <v>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Z10" s="3"/>
    </row>
    <row r="11" ht="14.25" customHeight="1">
      <c r="A11" s="3"/>
      <c r="B11" s="40"/>
      <c r="C11" s="40"/>
      <c r="D11" s="4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Z11" s="3"/>
    </row>
    <row r="12" ht="14.25" customHeight="1">
      <c r="A12" s="3"/>
      <c r="B12" s="40"/>
      <c r="C12" s="40"/>
      <c r="D12" s="4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Z12" s="3"/>
    </row>
    <row r="13" ht="14.25" customHeight="1">
      <c r="A13" s="3"/>
      <c r="B13" s="42" t="s">
        <v>99</v>
      </c>
      <c r="C13" s="43"/>
      <c r="D13" s="37">
        <f>COUNTIF('Identificación Casos'!A2:A34,"*")</f>
        <v>13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Z13" s="3"/>
    </row>
    <row r="14" ht="14.25" customHeight="1">
      <c r="A14" s="3"/>
      <c r="B14" s="40"/>
      <c r="C14" s="40"/>
      <c r="D14" s="40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Z14" s="3"/>
    </row>
    <row r="15" ht="14.25" customHeight="1">
      <c r="A15" s="3"/>
      <c r="B15" s="40"/>
      <c r="C15" s="40"/>
      <c r="D15" s="40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Z15" s="3"/>
    </row>
    <row r="16" ht="14.25" customHeight="1">
      <c r="A16" s="3"/>
      <c r="B16" s="44" t="s">
        <v>100</v>
      </c>
      <c r="C16" s="45"/>
      <c r="D16" s="46">
        <f>SUM(D6+D7+D9+D10)/D13</f>
        <v>0.07692307692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Z16" s="3"/>
    </row>
    <row r="17" ht="14.25" customHeight="1">
      <c r="A17" s="3"/>
      <c r="B17" s="47"/>
      <c r="C17" s="48"/>
      <c r="D17" s="39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49"/>
      <c r="N20" s="22"/>
      <c r="O20" s="3"/>
      <c r="P20" s="3"/>
      <c r="Q20" s="3"/>
      <c r="R20" s="3"/>
      <c r="Z20" s="3"/>
    </row>
    <row r="21" ht="14.25" customHeight="1">
      <c r="A21" s="3"/>
      <c r="B21" s="34"/>
      <c r="C21" s="3"/>
      <c r="D21" s="3"/>
      <c r="E21" s="3"/>
      <c r="F21" s="3"/>
      <c r="G21" s="3"/>
      <c r="H21" s="3"/>
      <c r="I21" s="3"/>
      <c r="J21" s="3"/>
      <c r="K21" s="3"/>
      <c r="L21" s="3"/>
      <c r="M21" s="25"/>
      <c r="O21" s="3"/>
      <c r="P21" s="3"/>
      <c r="Q21" s="3"/>
      <c r="R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R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R23" s="3"/>
    </row>
    <row r="24" ht="14.25" customHeight="1">
      <c r="A24" s="3"/>
      <c r="D24" s="3"/>
      <c r="E24" s="3"/>
      <c r="F24" s="3"/>
      <c r="G24" s="3"/>
      <c r="H24" s="3"/>
      <c r="I24" s="3"/>
      <c r="J24" s="3"/>
      <c r="R24" s="3"/>
    </row>
    <row r="25" ht="14.25" customHeight="1">
      <c r="A25" s="3"/>
      <c r="D25" s="3"/>
      <c r="E25" s="3"/>
      <c r="F25" s="3"/>
      <c r="G25" s="3"/>
      <c r="H25" s="3"/>
      <c r="I25" s="3"/>
      <c r="J25" s="3"/>
      <c r="R25" s="3"/>
    </row>
    <row r="26" ht="14.25" customHeight="1">
      <c r="A26" s="3"/>
      <c r="D26" s="3"/>
      <c r="E26" s="3"/>
      <c r="F26" s="3"/>
      <c r="G26" s="3"/>
      <c r="H26" s="3"/>
      <c r="I26" s="3"/>
      <c r="J26" s="3"/>
      <c r="R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50" t="s">
        <v>101</v>
      </c>
      <c r="C36" s="51"/>
      <c r="D36" s="45"/>
      <c r="E36" s="52" t="s">
        <v>46</v>
      </c>
      <c r="F36" s="43"/>
      <c r="G36" s="53">
        <f>COUNTIFS('Identificación Casos'!$J$2:$J$36,E36,'Identificación Casos'!$E$2:$E$36,"Ejecutado")</f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54"/>
      <c r="D37" s="55"/>
      <c r="E37" s="56" t="s">
        <v>35</v>
      </c>
      <c r="F37" s="57"/>
      <c r="G37" s="53">
        <f>COUNTIFS('Identificación Casos'!$J$2:$J$36,E37,'Identificación Casos'!$E$2:$E$36,"Ejecutado")</f>
        <v>0</v>
      </c>
      <c r="H37" s="1"/>
      <c r="I37" s="1"/>
      <c r="J37" s="1"/>
      <c r="K37" s="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54"/>
      <c r="D38" s="55"/>
      <c r="E38" s="52" t="s">
        <v>40</v>
      </c>
      <c r="F38" s="43"/>
      <c r="G38" s="53">
        <f>COUNTIFS('Identificación Casos'!$J$2:$J$36,E38,'Identificación Casos'!$E$2:$E$36,"Ejecutado")</f>
        <v>1</v>
      </c>
      <c r="H38" s="1"/>
      <c r="I38" s="1"/>
      <c r="J38" s="1"/>
      <c r="K38" s="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47"/>
      <c r="C39" s="58"/>
      <c r="D39" s="48"/>
      <c r="E39" s="52" t="s">
        <v>102</v>
      </c>
      <c r="F39" s="43"/>
      <c r="G39" s="59">
        <f>COUNTIF('Identificación Casos'!J5:J1005,E39)</f>
        <v>0</v>
      </c>
      <c r="H39" s="1"/>
      <c r="I39" s="1"/>
      <c r="J39" s="1"/>
      <c r="K39" s="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H40" s="1"/>
      <c r="I40" s="1"/>
      <c r="J40" s="1"/>
      <c r="K40" s="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F41" s="4" t="s">
        <v>103</v>
      </c>
      <c r="G41" s="1">
        <f>SUM(G36:G39)</f>
        <v>1</v>
      </c>
      <c r="H41" s="1"/>
      <c r="I41" s="1"/>
      <c r="J41" s="1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1"/>
      <c r="I42" s="1"/>
      <c r="J42" s="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E37:F37"/>
    <mergeCell ref="E38:F38"/>
    <mergeCell ref="B6:B10"/>
    <mergeCell ref="B13:C13"/>
    <mergeCell ref="B16:C17"/>
    <mergeCell ref="D16:D17"/>
    <mergeCell ref="M20:N21"/>
    <mergeCell ref="B36:D39"/>
    <mergeCell ref="E36:F36"/>
    <mergeCell ref="E39:F39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43"/>
    <col customWidth="1" min="3" max="3" width="6.29"/>
    <col customWidth="1" min="4" max="6" width="10.71"/>
  </cols>
  <sheetData>
    <row r="1" ht="14.25" customHeight="1">
      <c r="A1" s="1" t="s">
        <v>1</v>
      </c>
      <c r="B1" s="1" t="s">
        <v>2</v>
      </c>
      <c r="C1" s="4" t="s">
        <v>4</v>
      </c>
      <c r="D1" s="4" t="s">
        <v>6</v>
      </c>
    </row>
    <row r="2" ht="14.25" customHeight="1">
      <c r="A2" s="1" t="s">
        <v>8</v>
      </c>
      <c r="B2" s="1" t="s">
        <v>9</v>
      </c>
      <c r="C2" s="4" t="s">
        <v>11</v>
      </c>
      <c r="D2" s="4" t="s">
        <v>12</v>
      </c>
    </row>
    <row r="3" ht="14.25" customHeight="1">
      <c r="A3" s="1" t="s">
        <v>13</v>
      </c>
      <c r="B3" s="1" t="s">
        <v>14</v>
      </c>
      <c r="C3" s="4" t="s">
        <v>16</v>
      </c>
    </row>
    <row r="4" ht="14.25" customHeight="1">
      <c r="A4" s="1" t="s">
        <v>17</v>
      </c>
      <c r="B4" s="1" t="s">
        <v>18</v>
      </c>
    </row>
    <row r="5" ht="14.25" customHeight="1">
      <c r="A5" s="1" t="s">
        <v>19</v>
      </c>
      <c r="B5" s="1" t="s">
        <v>20</v>
      </c>
    </row>
    <row r="6" ht="14.25" customHeight="1">
      <c r="A6" s="1" t="s">
        <v>22</v>
      </c>
    </row>
    <row r="7" ht="14.25" customHeight="1">
      <c r="A7" s="1" t="s">
        <v>23</v>
      </c>
    </row>
    <row r="8" ht="14.25" customHeight="1">
      <c r="A8" s="1" t="s">
        <v>25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2022-11-12T13:19:55Z</dcterms:created>
  <dc:creator>Guzman Bozo, Jorge</dc:creator>
</cp:coreProperties>
</file>